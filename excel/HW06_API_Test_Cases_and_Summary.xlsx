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FR-02 Cases" state="visible" r:id="rId5"/>
    <sheet sheetId="3" name="FR-08 Cases" state="visible" r:id="rId6"/>
    <sheet sheetId="4" name="FR-14 Cases" state="visible" r:id="rId7"/>
  </sheets>
  <calcPr calcId="171027"/>
</workbook>
</file>

<file path=xl/sharedStrings.xml><?xml version="1.0" encoding="utf-8"?>
<sst xmlns="http://schemas.openxmlformats.org/spreadsheetml/2006/main" count="1278" uniqueCount="722">
  <si>
    <t>HW06 API Testing — Test Summary</t>
  </si>
  <si>
    <t>Student ID</t>
  </si>
  <si>
    <t>23127172</t>
  </si>
  <si>
    <t>Scope</t>
  </si>
  <si>
    <t>FR-02, FR-08, FR-14</t>
  </si>
  <si>
    <t>Original execution evidence: historical Newman/Postman runs against the unpatched SUT. CI remediation runs are documented separately.</t>
  </si>
  <si>
    <t>API</t>
  </si>
  <si>
    <t>Feature</t>
  </si>
  <si>
    <t>Total cases</t>
  </si>
  <si>
    <t>AI cases</t>
  </si>
  <si>
    <t>Student cases</t>
  </si>
  <si>
    <t>VALID</t>
  </si>
  <si>
    <t>INVALID</t>
  </si>
  <si>
    <t>INCOMPLETE</t>
  </si>
  <si>
    <t>Executed</t>
  </si>
  <si>
    <t>Passed cases</t>
  </si>
  <si>
    <t>Failed cases</t>
  </si>
  <si>
    <t>Assertions passed / total</t>
  </si>
  <si>
    <t>API 1</t>
  </si>
  <si>
    <t>FR-02 Login and account lockout</t>
  </si>
  <si>
    <t>75 / 80</t>
  </si>
  <si>
    <t>API 2</t>
  </si>
  <si>
    <t>FR-08 Checkout</t>
  </si>
  <si>
    <t>103 / 114</t>
  </si>
  <si>
    <t>API 3</t>
  </si>
  <si>
    <t>FR-14 Category CRUD</t>
  </si>
  <si>
    <t>72 / 92</t>
  </si>
  <si>
    <t>Total</t>
  </si>
  <si>
    <t/>
  </si>
  <si>
    <t>HW06 API Testing — FR-02 Cases</t>
  </si>
  <si>
    <t>ID</t>
  </si>
  <si>
    <t>Source</t>
  </si>
  <si>
    <t>Objective / transition</t>
  </si>
  <si>
    <t>Preconditions</t>
  </si>
  <si>
    <t>Request data / steps</t>
  </si>
  <si>
    <t>Expected result</t>
  </si>
  <si>
    <t>Security / schema assertion</t>
  </si>
  <si>
    <t>Audit</t>
  </si>
  <si>
    <t>Audit reasoning</t>
  </si>
  <si>
    <t>Actual / evidence</t>
  </si>
  <si>
    <t>A1-001</t>
  </si>
  <si>
    <t>AI</t>
  </si>
  <si>
    <t>Happy path</t>
  </si>
  <si>
    <t>Active user</t>
  </si>
  <si>
    <t>Valid email + valid password</t>
  </si>
  <si>
    <t>`200 OK`</t>
  </si>
  <si>
    <t>JSON contains non-empty `token` and `user`; no password</t>
  </si>
  <si>
    <t>Directly specified</t>
  </si>
  <si>
    <t>A1-002</t>
  </si>
  <si>
    <t>Email case variation</t>
  </si>
  <si>
    <t>Mixed-case email + valid password</t>
  </si>
  <si>
    <t>Consistent accept/reject per policy</t>
  </si>
  <si>
    <t>Authenticated identity is correct</t>
  </si>
  <si>
    <t>Normalization unspecified</t>
  </si>
  <si>
    <t>A1-003</t>
  </si>
  <si>
    <t>Email with surrounding spaces</t>
  </si>
  <si>
    <t>` valid.user@example.com ` + valid password</t>
  </si>
  <si>
    <t>Consistent trim/reject behavior</t>
  </si>
  <si>
    <t>No account confusion</t>
  </si>
  <si>
    <t>Whitespace policy unspecified</t>
  </si>
  <si>
    <t>A1-004</t>
  </si>
  <si>
    <t>Password with surrounding spaces</t>
  </si>
  <si>
    <t>Valid email + password with spaces added</t>
  </si>
  <si>
    <t>Reject unless spaces are part of password</t>
  </si>
  <si>
    <t>No password echoed</t>
  </si>
  <si>
    <t>Password must match exactly</t>
  </si>
  <si>
    <t>A1-005</t>
  </si>
  <si>
    <t>Missing email</t>
  </si>
  <si>
    <t>None</t>
  </si>
  <si>
    <t>`{ "password":"ValidPassword123!" }`</t>
  </si>
  <si>
    <t>Reject; no token</t>
  </si>
  <si>
    <t>Safe error JSON, no stack trace</t>
  </si>
  <si>
    <t>Required field absent</t>
  </si>
  <si>
    <t>A1-006</t>
  </si>
  <si>
    <t>Missing password</t>
  </si>
  <si>
    <t>`{ "email":"valid.user@example.com" }`</t>
  </si>
  <si>
    <t>A1-007</t>
  </si>
  <si>
    <t>Missing body fields</t>
  </si>
  <si>
    <t>`{}`</t>
  </si>
  <si>
    <t>No user/token fields</t>
  </si>
  <si>
    <t>Required fields absent</t>
  </si>
  <si>
    <t>A1-008</t>
  </si>
  <si>
    <t>Empty email</t>
  </si>
  <si>
    <t>Empty email + any password</t>
  </si>
  <si>
    <t>Safe error</t>
  </si>
  <si>
    <t>Invalid partition</t>
  </si>
  <si>
    <t>A1-009</t>
  </si>
  <si>
    <t>Empty password</t>
  </si>
  <si>
    <t>Valid email + empty password</t>
  </si>
  <si>
    <t>A1-010</t>
  </si>
  <si>
    <t>Both values empty</t>
  </si>
  <si>
    <t>Both empty strings</t>
  </si>
  <si>
    <t>A1-011</t>
  </si>
  <si>
    <t>Invalid email without `@`</t>
  </si>
  <si>
    <t>`invalid-email` + password</t>
  </si>
  <si>
    <t>No `500`</t>
  </si>
  <si>
    <t>Invalid email format</t>
  </si>
  <si>
    <t>A1-012</t>
  </si>
  <si>
    <t>Invalid email missing local part</t>
  </si>
  <si>
    <t>`@example.com` + password</t>
  </si>
  <si>
    <t>A1-013</t>
  </si>
  <si>
    <t>Invalid email missing domain</t>
  </si>
  <si>
    <t>`user@` + password</t>
  </si>
  <si>
    <t>A1-014</t>
  </si>
  <si>
    <t>Whitespace-only values</t>
  </si>
  <si>
    <t>Both values are spaces</t>
  </si>
  <si>
    <t>No reflected credentials</t>
  </si>
  <si>
    <t>A1-015</t>
  </si>
  <si>
    <t>Excessive email length</t>
  </si>
  <si>
    <t>Email over configured maximum</t>
  </si>
  <si>
    <t>Safe reject/handling</t>
  </si>
  <si>
    <t>Bounded response time; no `500`</t>
  </si>
  <si>
    <t>Max length unspecified</t>
  </si>
  <si>
    <t>A1-016</t>
  </si>
  <si>
    <t>Excessive password length</t>
  </si>
  <si>
    <t>Password over configured maximum</t>
  </si>
  <si>
    <t>A1-017</t>
  </si>
  <si>
    <t>Unicode email</t>
  </si>
  <si>
    <t>`người-dùng@example.com` + password</t>
  </si>
  <si>
    <t>Consistent accept/reject</t>
  </si>
  <si>
    <t>No encoding error / account confusion</t>
  </si>
  <si>
    <t>i18n policy unspecified</t>
  </si>
  <si>
    <t>A1-018</t>
  </si>
  <si>
    <t>Unicode/special-char password</t>
  </si>
  <si>
    <t>User with such password</t>
  </si>
  <si>
    <t>Valid email + exact special-character password</t>
  </si>
  <si>
    <t>Authenticate only on exact match</t>
  </si>
  <si>
    <t>Password never returned</t>
  </si>
  <si>
    <t>Needs test account</t>
  </si>
  <si>
    <t>A1-019</t>
  </si>
  <si>
    <t>Email is number</t>
  </si>
  <si>
    <t>`email: 12345`</t>
  </si>
  <si>
    <t>Strict type validation</t>
  </si>
  <si>
    <t>Wrong type</t>
  </si>
  <si>
    <t>A1-020</t>
  </si>
  <si>
    <t>Password is number</t>
  </si>
  <si>
    <t>`password: 12345`</t>
  </si>
  <si>
    <t>A1-021</t>
  </si>
  <si>
    <t>Email is null</t>
  </si>
  <si>
    <t>`email: null`</t>
  </si>
  <si>
    <t>Null invalid</t>
  </si>
  <si>
    <t>A1-022</t>
  </si>
  <si>
    <t>Password is null</t>
  </si>
  <si>
    <t>`password: null`</t>
  </si>
  <si>
    <t>A1-023</t>
  </si>
  <si>
    <t>Mass-assignment attempt</t>
  </si>
  <si>
    <t>Valid credentials + `"role":"admin"`</t>
  </si>
  <si>
    <t>Login may succeed/reject, but input role is ignored</t>
  </si>
  <si>
    <t>Returned role is actual role, not admin</t>
  </si>
  <si>
    <t>Role-escalation coverage</t>
  </si>
  <si>
    <t>A1-024</t>
  </si>
  <si>
    <t>SQL injection in email</t>
  </si>
  <si>
    <t>Email `"' OR '1'='1' --"`</t>
  </si>
  <si>
    <t>No SQL error/data disclosure</t>
  </si>
  <si>
    <t>Injection coverage</t>
  </si>
  <si>
    <t>A1-025</t>
  </si>
  <si>
    <t>SQL injection in password</t>
  </si>
  <si>
    <t>Valid email + password `"' OR '1'='1' --"`</t>
  </si>
  <si>
    <t>No SQL error/token</t>
  </si>
  <si>
    <t>A1-026</t>
  </si>
  <si>
    <t>NoSQL/operator injection</t>
  </si>
  <si>
    <t>`email:{"$ne":""}`, `password:{"$ne":""}`</t>
  </si>
  <si>
    <t>Strict JSON type validation</t>
  </si>
  <si>
    <t>Type-confusion security</t>
  </si>
  <si>
    <t>A1-027</t>
  </si>
  <si>
    <t>XSS payload in email</t>
  </si>
  <si>
    <t>`&lt;script&gt;alert(1)&lt;/script&gt;@x.test`</t>
  </si>
  <si>
    <t>Reject safely</t>
  </si>
  <si>
    <t>Any reflected output must be encoded</t>
  </si>
  <si>
    <t>UI rendering needs separate proof</t>
  </si>
  <si>
    <t>A1-028</t>
  </si>
  <si>
    <t>Unknown valid-format email</t>
  </si>
  <si>
    <t>Unknown email + arbitrary password</t>
  </si>
  <si>
    <t>Same status/schema/message class as A1-029; no account disclosure</t>
  </si>
  <si>
    <t>FR-02 requires errors not to reveal the cause</t>
  </si>
  <si>
    <t>A1-029</t>
  </si>
  <si>
    <t>Known email, wrong password</t>
  </si>
  <si>
    <t>Valid email + wrong password</t>
  </si>
  <si>
    <t>Same status/schema/message class as A1-028; no account disclosure</t>
  </si>
  <si>
    <t>A1-030</t>
  </si>
  <si>
    <t>User-enumeration timing</t>
  </si>
  <si>
    <t>Active + unknown user</t>
  </si>
  <si>
    <t>Repeat A1-028/A1-029</t>
  </si>
  <si>
    <t>No reliable timing distinction</t>
  </si>
  <si>
    <t>Record samples/median</t>
  </si>
  <si>
    <t>Measurement criterion required</t>
  </si>
  <si>
    <t>A1-031</t>
  </si>
  <si>
    <t>First failed login</t>
  </si>
  <si>
    <t>Isolated user, reset state</t>
  </si>
  <si>
    <t>Reject; account remains usable</t>
  </si>
  <si>
    <t>No token; a following valid login succeeds</t>
  </si>
  <si>
    <t>FR-02 defines a consecutive-failure counter; first failure must not lock</t>
  </si>
  <si>
    <t>A1-032</t>
  </si>
  <si>
    <t>Attempt immediately before threshold</t>
  </si>
  <si>
    <t>Reset user; threshold is 3</t>
  </si>
  <si>
    <t>Two wrong-password attempts, then valid credentials</t>
  </si>
  <si>
    <t>Account is not locked after attempt 2; valid login succeeds</t>
  </si>
  <si>
    <t>No lockout bypass; response contains no token on failures</t>
  </si>
  <si>
    <t>FR-02 explicitly sets threshold to 3 consecutive failures</t>
  </si>
  <si>
    <t>A1-033</t>
  </si>
  <si>
    <t>Attempt reaches lockout threshold</t>
  </si>
  <si>
    <t>Three wrong-password attempts, then valid credentials within 30 s</t>
  </si>
  <si>
    <t>Account is locked after attempt 3; valid login is rejected during lock</t>
  </si>
  <si>
    <t>No token; capture lock response without relying on an unspecified status</t>
  </si>
  <si>
    <t>FR-02 explicitly sets threshold to 3 and lock duration to 30 seconds</t>
  </si>
  <si>
    <t>A1-034</t>
  </si>
  <si>
    <t>Correct password during lockout</t>
  </si>
  <si>
    <t>User locked in A1-033; retry before 30 s expires</t>
  </si>
  <si>
    <t>Valid credentials</t>
  </si>
  <si>
    <t>No token while lock is active</t>
  </si>
  <si>
    <t>No lockout bypass</t>
  </si>
  <si>
    <t>FR-02 explicitly defines a 30-second temporary lock</t>
  </si>
  <si>
    <t>A1-035</t>
  </si>
  <si>
    <t>Lockout isolation between accounts</t>
  </si>
  <si>
    <t>Account A locked; B active</t>
  </si>
  <si>
    <t>Valid credentials for B</t>
  </si>
  <si>
    <t>B authenticates successfully</t>
  </si>
  <si>
    <t>Token/user belongs only to B</t>
  </si>
  <si>
    <t>The lock is an account state; A's lock must not block B</t>
  </si>
  <si>
    <t>A1-036</t>
  </si>
  <si>
    <t>Student</t>
  </si>
  <si>
    <t>Reject malformed JSON and inappropriate `Content-Type`</t>
  </si>
  <si>
    <t>Active user; lockout state reset</t>
  </si>
  <si>
    <t>(1) Invalid JSON with `application/json`; (2) valid JSON with `text/plain`; (3) valid JSON without `Content-Type`.</t>
  </si>
  <si>
    <t>Safely reject; no token, `500`, or parser detail.</t>
  </si>
  <si>
    <t>These are distinct request-parsing partitions absent from the first 35 cases. Exact status/error body must be observed.</t>
  </si>
  <si>
    <t>Headers/body, status, response, console.</t>
  </si>
  <si>
    <t>A1-037</t>
  </si>
  <si>
    <t>Detect concurrent-failure race condition in lockout</t>
  </si>
  <si>
    <t>Isolated account; threshold 3; reset state</t>
  </si>
  <si>
    <t>Send 3 incorrect logins concurrently, then valid credentials; repeat three times.</t>
  </si>
  <si>
    <t>No token at/after lockout; concurrency cannot bypass counting.</t>
  </si>
  <si>
    <t>Important state-transition/security test. Requires a runner capable of concurrency.</t>
  </si>
  <si>
    <t>Timestamps, all results, final login result.</t>
  </si>
  <si>
    <t>A1-038</t>
  </si>
  <si>
    <t>Confirm successful login resets prior failed-attempt counter</t>
  </si>
  <si>
    <t>Isolated account; threshold 3</t>
  </si>
  <si>
    <t>Two failures → one success → one failure → valid login.</t>
  </si>
  <si>
    <t>Final valid login succeeds; the earlier success broke the consecutive-failure sequence.</t>
  </si>
  <si>
    <t>“Three consecutive failures” implies a successful login resets the failed sequence.</t>
  </si>
  <si>
    <t>Ordered request log and final result.</t>
  </si>
  <si>
    <t>A1-039</t>
  </si>
  <si>
    <t>Confirm automatic unlock after expiry</t>
  </si>
  <si>
    <t>Isolated account; threshold 3; duration 30 s</t>
  </si>
  <si>
    <t>Lock account; retry just before 30 s and just after 30 s.</t>
  </si>
  <si>
    <t>No token before expiry; successful login after expiry, allowing small clock/network tolerance.</t>
  </si>
  <si>
    <t>FR-02 explicitly defines a temporary 30-second lock.</t>
  </si>
  <si>
    <t>Elapsed time and before/after responses.</t>
  </si>
  <si>
    <t>A1-040</t>
  </si>
  <si>
    <t>Determine whether lockout is keyed by account, IP, or both</t>
  </si>
  <si>
    <t>Two accounts; two controlled IPs/proxies if available</t>
  </si>
  <si>
    <t>Lock A from IP-1; test A from IP-2 and B from both IPs.</t>
  </si>
  <si>
    <t>Behavior matches security policy; B must not be blocked by A's lockout.</t>
  </si>
  <si>
    <t>Keying policy is unspecified and a second controlled IP may not be available locally.</t>
  </si>
  <si>
    <t>IP/proxy setup and result matrix.</t>
  </si>
  <si>
    <t>HW06 API Testing — FR-08 Cases</t>
  </si>
  <si>
    <t>B1-001</t>
  </si>
  <si>
    <t>Happy-path checkout</t>
  </si>
  <si>
    <t>Valid user token; cart with items</t>
  </si>
  <si>
    <t>Positive total; normal address</t>
  </si>
  <si>
    <t>Success response; one order created with status `pending`</t>
  </si>
  <si>
    <t>Positive order identifier if returned; correct owner; stored total equals server-calculated cart total; cart clears</t>
  </si>
  <si>
    <t>Covers the specified authenticated success path and FR-08 postconditions</t>
  </si>
  <si>
    <t>B1-002</t>
  </si>
  <si>
    <t>Minimum positive integer amount</t>
  </si>
  <si>
    <t>Valid token</t>
  </si>
  <si>
    <t>`total_amount: 1`</t>
  </si>
  <si>
    <t>Accept/reject per business minimum</t>
  </si>
  <si>
    <t>No `500`; order only if valid</t>
  </si>
  <si>
    <t>Minimum amount unspecified</t>
  </si>
  <si>
    <t>B1-003</t>
  </si>
  <si>
    <t>Zero amount</t>
  </si>
  <si>
    <t>Valid token; valid nonempty cart</t>
  </si>
  <si>
    <t>`total_amount: 0`</t>
  </si>
  <si>
    <t>Reject; no order</t>
  </si>
  <si>
    <t>No zero-value order</t>
  </si>
  <si>
    <t>FR-08 requires server-side recalculation; rejection is not the only conforming behavior. Correct oracle: client value must not determine the stored total</t>
  </si>
  <si>
    <t>B1-004</t>
  </si>
  <si>
    <t>Negative amount</t>
  </si>
  <si>
    <t>`total_amount: -1`</t>
  </si>
  <si>
    <t>No negative-value order</t>
  </si>
  <si>
    <t>FR-08 requires server-side recalculation; rejection is not the only conforming behavior. Correct oracle: no negative/client-controlled total is stored</t>
  </si>
  <si>
    <t>B1-005</t>
  </si>
  <si>
    <t>Decimal amount</t>
  </si>
  <si>
    <t>`total_amount: 100.5`</t>
  </si>
  <si>
    <t>Accept/reject only per currency rule</t>
  </si>
  <si>
    <t>Stored value must not be silently rounded unexpectedly</t>
  </si>
  <si>
    <t>Currency precision unspecified</t>
  </si>
  <si>
    <t>B1-006</t>
  </si>
  <si>
    <t>Very large amount</t>
  </si>
  <si>
    <t>Maximum/overflow-sized number</t>
  </si>
  <si>
    <t>Reject safely or preserve exact valid value</t>
  </si>
  <si>
    <t>No overflow/negative conversion/`500`</t>
  </si>
  <si>
    <t>Maximum amount unspecified</t>
  </si>
  <si>
    <t>B1-007</t>
  </si>
  <si>
    <t>Amount is string</t>
  </si>
  <si>
    <t>`total_amount: "200000"`</t>
  </si>
  <si>
    <t>Strict numeric type validation</t>
  </si>
  <si>
    <t>The rejection oracle is unsupported; the server may ignore the client field and use its own calculated total</t>
  </si>
  <si>
    <t>B1-008</t>
  </si>
  <si>
    <t>Amount is nonnumeric string</t>
  </si>
  <si>
    <t>`total_amount: "abc"`</t>
  </si>
  <si>
    <t>No `500` or coercion</t>
  </si>
  <si>
    <t>The required invariant is no client-controlled total, not necessarily rejection</t>
  </si>
  <si>
    <t>B1-009</t>
  </si>
  <si>
    <t>Amount is null</t>
  </si>
  <si>
    <t>`total_amount: null`</t>
  </si>
  <si>
    <t>No null stored</t>
  </si>
  <si>
    <t>The required invariant is no null/client-controlled stored total; the request may be rejected or safely recalculated</t>
  </si>
  <si>
    <t>B1-010</t>
  </si>
  <si>
    <t>Amount is missing</t>
  </si>
  <si>
    <t>Omit `total_amount`</t>
  </si>
  <si>
    <t>Validation error; no order ID</t>
  </si>
  <si>
    <t>FR-08 says the backend calculates the total from the cart; unconditional rejection is not established</t>
  </si>
  <si>
    <t>B1-011</t>
  </si>
  <si>
    <t>Address is missing</t>
  </si>
  <si>
    <t>Omit `shipping_address`</t>
  </si>
  <si>
    <t>B1-012</t>
  </si>
  <si>
    <t>Empty address</t>
  </si>
  <si>
    <t>`shipping_address: ""`</t>
  </si>
  <si>
    <t>No empty address stored</t>
  </si>
  <si>
    <t>The body includes an address, but the specification does not define empty-string validation</t>
  </si>
  <si>
    <t>B1-013</t>
  </si>
  <si>
    <t>Whitespace-only address</t>
  </si>
  <si>
    <t>`shipping_address: "   "`</t>
  </si>
  <si>
    <t>No whitespace-only address stored</t>
  </si>
  <si>
    <t>Trim/blank-address policy is not specified</t>
  </si>
  <si>
    <t>B1-014</t>
  </si>
  <si>
    <t>Minimal plausible address</t>
  </si>
  <si>
    <t>Short nonempty address</t>
  </si>
  <si>
    <t>Accept/reject consistently</t>
  </si>
  <si>
    <t>No truncation/corruption</t>
  </si>
  <si>
    <t>Address rules unspecified</t>
  </si>
  <si>
    <t>B1-015</t>
  </si>
  <si>
    <t>Very long address</t>
  </si>
  <si>
    <t>Address exceeds configured maximum</t>
  </si>
  <si>
    <t>No SQL error/`500`</t>
  </si>
  <si>
    <t>Length limit unspecified</t>
  </si>
  <si>
    <t>B1-016</t>
  </si>
  <si>
    <t>Unicode/Vietnamese address</t>
  </si>
  <si>
    <t>`123 Đường Lê Lợi, Quận 1, TP.HCM`</t>
  </si>
  <si>
    <t>Success if other data valid</t>
  </si>
  <si>
    <t>UTF-8 address preserved exactly</t>
  </si>
  <si>
    <t>Vietnamese SUT needs Unicode coverage</t>
  </si>
  <si>
    <t>B1-017</t>
  </si>
  <si>
    <t>Special punctuation in address</t>
  </si>
  <si>
    <t>Apartment, slash, hyphen, comma</t>
  </si>
  <si>
    <t>Success/reject consistently</t>
  </si>
  <si>
    <t>No malformed stored data</t>
  </si>
  <si>
    <t>Address character policy unspecified</t>
  </si>
  <si>
    <t>B1-018</t>
  </si>
  <si>
    <t>SQL injection in address</t>
  </si>
  <si>
    <t>`x'); DROP TABLE orders; --`</t>
  </si>
  <si>
    <t>Store as literal text or reject safely; system remains usable</t>
  </si>
  <si>
    <t>No SQL error; no destructive action; later queries still work</t>
  </si>
  <si>
    <t>SEC-05 requires parameterized queries; safe literal storage and safe rejection are both conforming</t>
  </si>
  <si>
    <t>B1-019</t>
  </si>
  <si>
    <t>XSS payload in address</t>
  </si>
  <si>
    <t>`&lt;script&gt;alert(1)&lt;/script&gt;`</t>
  </si>
  <si>
    <t>Reject/sanitize safely</t>
  </si>
  <si>
    <t>Rendered order history must not execute script</t>
  </si>
  <si>
    <t>Requires API + UI verification</t>
  </si>
  <si>
    <t>B1-020</t>
  </si>
  <si>
    <t>Extra role/user fields</t>
  </si>
  <si>
    <t>Valid body + `user_id`, `role`, `status`</t>
  </si>
  <si>
    <t>Ignore/reject extra fields</t>
  </si>
  <si>
    <t>Order owner/status must be server-controlled</t>
  </si>
  <si>
    <t>Mass-assignment/role escalation</t>
  </si>
  <si>
    <t>B1-021</t>
  </si>
  <si>
    <t>Missing Authorization</t>
  </si>
  <si>
    <t>No token</t>
  </si>
  <si>
    <t>Valid body</t>
  </si>
  <si>
    <t>`401`/auth rejection; no order</t>
  </si>
  <si>
    <t>No order created</t>
  </si>
  <si>
    <t>Authentication required by spec</t>
  </si>
  <si>
    <t>B1-022</t>
  </si>
  <si>
    <t>Malformed Bearer token</t>
  </si>
  <si>
    <t>Invalid token</t>
  </si>
  <si>
    <t>Auth rejection; no order</t>
  </si>
  <si>
    <t>No `500` or token leakage</t>
  </si>
  <si>
    <t>Authentication partition</t>
  </si>
  <si>
    <t>B1-023</t>
  </si>
  <si>
    <t>Expired/invalid JWT</t>
  </si>
  <si>
    <t>Expired token</t>
  </si>
  <si>
    <t>B1-024</t>
  </si>
  <si>
    <t>Regular user checkout authorization</t>
  </si>
  <si>
    <t>Valid normal-user token</t>
  </si>
  <si>
    <t>Success if conditions valid</t>
  </si>
  <si>
    <t>Order `user_id` equals token subject</t>
  </si>
  <si>
    <t>Ownership check</t>
  </si>
  <si>
    <t>B1-025</t>
  </si>
  <si>
    <t>Token ownership / IDOR</t>
  </si>
  <si>
    <t>Tokens for user A and B</t>
  </si>
  <si>
    <t>Checkout as A, read created order using B</t>
  </si>
  <si>
    <t>B is denied access to A's order</t>
  </si>
  <si>
    <t>No cross-user order disclosure, with or without B's token</t>
  </si>
  <si>
    <t>FR-11 requires users to see only their own orders; the detail endpoint exists in the API specification</t>
  </si>
  <si>
    <t>B1-026</t>
  </si>
  <si>
    <t>Manipulated total lower than cart sum</t>
  </si>
  <si>
    <t>Valid cart with known server-calculated total</t>
  </si>
  <si>
    <t>Checkout with `total_amount` lower than cart total</t>
  </si>
  <si>
    <t>Checkout uses the server-calculated cart total; client value is ignored</t>
  </si>
  <si>
    <t>Stored order total exactly matches the server calculation</t>
  </si>
  <si>
    <t>Direct FR-08 price-tampering requirement</t>
  </si>
  <si>
    <t>B1-027</t>
  </si>
  <si>
    <t>Manipulated total higher than cart sum</t>
  </si>
  <si>
    <t>Checkout with inflated `total_amount`</t>
  </si>
  <si>
    <t>Direct FR-08 integrity requirement</t>
  </si>
  <si>
    <t>B1-028</t>
  </si>
  <si>
    <t>Checkout empty cart</t>
  </si>
  <si>
    <t>Valid token; empty cart</t>
  </si>
  <si>
    <t>Valid positive body</t>
  </si>
  <si>
    <t>No order with no items</t>
  </si>
  <si>
    <t>Checkout state rule</t>
  </si>
  <si>
    <t>B1-029</t>
  </si>
  <si>
    <t>Checkout valid cart creates pending order</t>
  </si>
  <si>
    <t>Valid token; cart prepared</t>
  </si>
  <si>
    <t>One order created, initial status `pending`</t>
  </si>
  <si>
    <t>Verify via order-history/detail endpoint</t>
  </si>
  <si>
    <t>FR-10 state integration</t>
  </si>
  <si>
    <t>B1-030</t>
  </si>
  <si>
    <t>Repeat identical checkout</t>
  </si>
  <si>
    <t>Valid token; cart prepared once</t>
  </si>
  <si>
    <t>Complete checkout, then immediately repeat the same request without rebuilding the cart</t>
  </si>
  <si>
    <t>First checkout succeeds and clears the cart; second request creates no second order from the old cart</t>
  </si>
  <si>
    <t>Exactly one order is created from the prepared cart</t>
  </si>
  <si>
    <t>FR-08 cart clearing supplies the oracle without assuming an idempotency-key policy</t>
  </si>
  <si>
    <t>B1-031</t>
  </si>
  <si>
    <t>Concurrent duplicate checkout</t>
  </si>
  <si>
    <t>Send two checkout requests concurrently</t>
  </si>
  <si>
    <t>At most one order/charge if idempotency required</t>
  </si>
  <si>
    <t>Record order count and IDs</t>
  </si>
  <si>
    <t>Needs concurrent client/tool</t>
  </si>
  <si>
    <t>B1-032</t>
  </si>
  <si>
    <t>Cart state after successful checkout</t>
  </si>
  <si>
    <t>Checkout then `GET /api/cart`</t>
  </si>
  <si>
    <t>Cart is empty after successful checkout</t>
  </si>
  <si>
    <t>No stale items remain</t>
  </si>
  <si>
    <t>FR-08 explicitly requires the cart to be cleared after success</t>
  </si>
  <si>
    <t>B1-033</t>
  </si>
  <si>
    <t>Content-Type absent/wrong</t>
  </si>
  <si>
    <t>Valid JSON with missing or `text/plain` content type</t>
  </si>
  <si>
    <t>Reject safely or parse only per policy</t>
  </si>
  <si>
    <t>No malformed order / `500`</t>
  </si>
  <si>
    <t>Transport rule unspecified</t>
  </si>
  <si>
    <t>B1-034</t>
  </si>
  <si>
    <t>Malformed JSON body</t>
  </si>
  <si>
    <t>Invalid JSON</t>
  </si>
  <si>
    <t>`400`/safe reject; no order</t>
  </si>
  <si>
    <t>No parser stack trace</t>
  </si>
  <si>
    <t>Request parsing security</t>
  </si>
  <si>
    <t>B1-035</t>
  </si>
  <si>
    <t>Response schema and sensitive data</t>
  </si>
  <si>
    <t>Valid token; valid checkout</t>
  </si>
  <si>
    <t>Success response shape matches the confirmed contract</t>
  </si>
  <si>
    <t>No JWT, password, secret, or unrelated private data</t>
  </si>
  <si>
    <t>The API specification does not define the exact checkout success schema; confirm whether only `message` and `orderId` are allowed</t>
  </si>
  <si>
    <t>B1-036</t>
  </si>
  <si>
    <t>Reject `shipping_address` with a non-string type</t>
  </si>
  <si>
    <t>Valid token; record order count before test</t>
  </si>
  <si>
    <t>Send the same valid cart with `shipping_address` set to `null`, a number, an array, and an object in separate runs.</t>
  </si>
  <si>
    <t>Every variant is rejected; no order is created.</t>
  </si>
  <si>
    <t>Adds missing type partitions for a field represented as a string in the API contract.</t>
  </si>
  <si>
    <t>Request/response for each type; order-count check before/after.</t>
  </si>
  <si>
    <t>B1-037</t>
  </si>
  <si>
    <t>Prevent nonnumeric client values from controlling the total</t>
  </si>
  <si>
    <t>Valid token; valid cart with known server total</t>
  </si>
  <si>
    <t>Send `total_amount: true`, `{ "value": 200000 }`, and `[200000]` in separate runs with a valid address.</t>
  </si>
  <si>
    <t>No variant is stored/coerced as the order total; any created order uses the server-calculated cart total.</t>
  </si>
  <si>
    <t>Extends FR-08 tampering coverage without assuming rejection is the only valid policy.</t>
  </si>
  <si>
    <t>Request/response and stored order total for each type.</t>
  </si>
  <si>
    <t>B1-038</t>
  </si>
  <si>
    <t>Validate corrupt cart data before checkout</t>
  </si>
  <si>
    <t>Valid token; use isolated user/cart</t>
  </si>
  <si>
    <t>Add cart entries containing a nonexistent product ID, quantity `0`, negative quantity, and negative price; then checkout.</t>
  </si>
  <si>
    <t>Checkout rejects invalid cart or derives a valid total from authoritative product data; no invalid/client-priced order is created.</t>
  </si>
  <si>
    <t>Exercises the server-side cart trust boundary omitted from the AI cases.</t>
  </si>
  <si>
    <t>Cart contents, checkout response, order history/detail.</t>
  </si>
  <si>
    <t>B1-039</t>
  </si>
  <si>
    <t>Failed checkout has no unintended state change</t>
  </si>
  <si>
    <t>Valid token; cart with known items; record cart and order count</t>
  </si>
  <si>
    <t>Submit a request guaranteed to fail (for example a missing/invalid address after confirming the address rule), then call `GET /api/cart` and `GET /api/orders/my-orders`.</t>
  </si>
  <si>
    <t>Cart is unchanged and no new/partial order exists after rejection.</t>
  </si>
  <si>
    <t>Covers transaction rollback and state preservation after failure.</t>
  </si>
  <si>
    <t>Before/after cart and order-history responses.</t>
  </si>
  <si>
    <t>B1-040</t>
  </si>
  <si>
    <t>Handle duplicate JSON key safely</t>
  </si>
  <si>
    <t>Send raw JSON with two `total_amount` keys, e.g. `{"total_amount":200000,"total_amount":1,"shipping_address":"123 Le Loi"}`.</t>
  </si>
  <si>
    <t>Reject ambiguous payload or follow a confirmed parser policy; in all cases the stored total cannot differ from the server-calculated cart total.</t>
  </si>
  <si>
    <t>Duplicate-key parsing is unspecified; the security invariant is known, but the exact parser oracle must be confirmed.</t>
  </si>
  <si>
    <t>Raw request, response, parser policy, and stored total/order-count check.</t>
  </si>
  <si>
    <t>HW06 API Testing — FR-14 Cases</t>
  </si>
  <si>
    <t>C1-001</t>
  </si>
  <si>
    <t>Admin views category list</t>
  </si>
  <si>
    <t>Valid admin token</t>
  </si>
  <si>
    <t>`GET /api/categories`</t>
  </si>
  <si>
    <t>`200`; list contains seeded categories</t>
  </si>
  <si>
    <t>Array items contain numeric `id` and string `name`</t>
  </si>
  <si>
    <t>FR-14 gives the admin view function</t>
  </si>
  <si>
    <t>C1-002</t>
  </si>
  <si>
    <t>Unauthenticated category list</t>
  </si>
  <si>
    <t>`200`; public category list is returned</t>
  </si>
  <si>
    <t>Response exposes only category fields</t>
  </si>
  <si>
    <t>Corrected against FR-12: only category mutation endpoints are restricted to admin</t>
  </si>
  <si>
    <t>C1-003</t>
  </si>
  <si>
    <t>Regular user views categories</t>
  </si>
  <si>
    <t>`200`; same public category contract</t>
  </si>
  <si>
    <t>Token presence does not change or broaden the public data</t>
  </si>
  <si>
    <t>Category listing supports ordinary product/category browsing and is not listed as a protected mutation</t>
  </si>
  <si>
    <t>C1-004</t>
  </si>
  <si>
    <t>List response schema</t>
  </si>
  <si>
    <t>`200`; stable JSON array</t>
  </si>
  <si>
    <t>Every item has only expected public fields; IDs are unique</t>
  </si>
  <si>
    <t>Basic read/schema contract</t>
  </si>
  <si>
    <t>C1-005</t>
  </si>
  <si>
    <t>List has no sensitive/internal data</t>
  </si>
  <si>
    <t>`200`</t>
  </si>
  <si>
    <t>No password, JWT, database stack trace, or unrelated user fields</t>
  </si>
  <si>
    <t>Response-minimization/security check</t>
  </si>
  <si>
    <t>C1-006</t>
  </si>
  <si>
    <t>Create a valid category</t>
  </si>
  <si>
    <t>`POST /api/categories` body `{"name":"HW06-23127172-Electronics"}`</t>
  </si>
  <si>
    <t>Success; returns new positive ID</t>
  </si>
  <si>
    <t>Created name is visible in a subsequent admin list request</t>
  </si>
  <si>
    <t>Main create path</t>
  </si>
  <si>
    <t>C1-007</t>
  </si>
  <si>
    <t>Create with missing name</t>
  </si>
  <si>
    <t>`POST` body `{}`</t>
  </si>
  <si>
    <t>`400`; no category created</t>
  </si>
  <si>
    <t>No generated ID/side effect</t>
  </si>
  <si>
    <t>FR-14 requires category name</t>
  </si>
  <si>
    <t>C1-008</t>
  </si>
  <si>
    <t>Create with empty name</t>
  </si>
  <si>
    <t>`POST` body `{"name":""}`</t>
  </si>
  <si>
    <t>Empty name must not persist</t>
  </si>
  <si>
    <t>Explicit FR-14 rule</t>
  </si>
  <si>
    <t>C1-009</t>
  </si>
  <si>
    <t>Create with whitespace-only name</t>
  </si>
  <si>
    <t>`POST` body `{"name":"   "}`</t>
  </si>
  <si>
    <t>Trim/blank validation</t>
  </si>
  <si>
    <t>Whitespace-only is semantically empty</t>
  </si>
  <si>
    <t>C1-010</t>
  </si>
  <si>
    <t>Create Unicode/Vietnamese name</t>
  </si>
  <si>
    <t>`POST` body `{"name":"Thiết bị điện tử – Đà Nẵng"}`</t>
  </si>
  <si>
    <t>Success</t>
  </si>
  <si>
    <t>Subsequent GET preserves UTF-8 exactly</t>
  </si>
  <si>
    <t>Localized input coverage</t>
  </si>
  <si>
    <t>C1-011</t>
  </si>
  <si>
    <t>Maximum-length category name</t>
  </si>
  <si>
    <t>Name at configured maximum, then one character longer</t>
  </si>
  <si>
    <t>Accept boundary or safely reject over-limit</t>
  </si>
  <si>
    <t>No truncation, DB error, or `500`</t>
  </si>
  <si>
    <t>FR-14 does not specify a length limit</t>
  </si>
  <si>
    <t>C1-012</t>
  </si>
  <si>
    <t>Duplicate category name</t>
  </si>
  <si>
    <t>Create the same name twice</t>
  </si>
  <si>
    <t>Follow documented uniqueness policy consistently</t>
  </si>
  <si>
    <t>No unexpected `500`</t>
  </si>
  <si>
    <t>Uniqueness is not specified for categories</t>
  </si>
  <si>
    <t>C1-013</t>
  </si>
  <si>
    <t>Non-string name types</t>
  </si>
  <si>
    <t>Send `null`, number, array, and object as `name` in separate requests</t>
  </si>
  <si>
    <t>Each is rejected with 4xx; no category created</t>
  </si>
  <si>
    <t>Strict string validation; no coercion</t>
  </si>
  <si>
    <t>Contract shows `name` as a required string</t>
  </si>
  <si>
    <t>C1-014</t>
  </si>
  <si>
    <t>Mass-assignment fields on create</t>
  </si>
  <si>
    <t>Valid `name` plus `id`, `role`, `user_id`, `created_at`</t>
  </si>
  <si>
    <t>Ignore/reject extras; server assigns identity</t>
  </si>
  <si>
    <t>Client cannot choose ID/ownership/internal fields</t>
  </si>
  <si>
    <t>Prevents mass assignment</t>
  </si>
  <si>
    <t>C1-015</t>
  </si>
  <si>
    <t>SQL injection payload in name</t>
  </si>
  <si>
    <t>`{"name":"x'); DROP TABLE categories; --"}`</t>
  </si>
  <si>
    <t>Store literal text or safely reject</t>
  </si>
  <si>
    <t>Later `GET /api/categories` remains usable; no DB error</t>
  </si>
  <si>
    <t>Injection-resilience test</t>
  </si>
  <si>
    <t>C1-016</t>
  </si>
  <si>
    <t>Stored XSS payload in name</t>
  </si>
  <si>
    <t>`{"name":"&lt;script&gt;alert(1)&lt;/script&gt;"}` then view it in admin UI</t>
  </si>
  <si>
    <t>Safely encode/reject payload</t>
  </si>
  <si>
    <t>Script must not execute in the UI</t>
  </si>
  <si>
    <t>Requires browser/UI evidence in addition to API response</t>
  </si>
  <si>
    <t>C1-017</t>
  </si>
  <si>
    <t>Malformed create JSON</t>
  </si>
  <si>
    <t>Invalid raw JSON, e.g. `{"name":`</t>
  </si>
  <si>
    <t>No parser stack trace or `500`</t>
  </si>
  <si>
    <t>Safe request parsing</t>
  </si>
  <si>
    <t>C1-018</t>
  </si>
  <si>
    <t>Wrong/missing create Content-Type</t>
  </si>
  <si>
    <t>Valid JSON with absent or `text/plain` Content-Type</t>
  </si>
  <si>
    <t>Safe 4xx or documented parsing policy</t>
  </si>
  <si>
    <t>Never `500`/partial category</t>
  </si>
  <si>
    <t>Accepted transport policy is unspecified</t>
  </si>
  <si>
    <t>C1-019</t>
  </si>
  <si>
    <t>Create without token</t>
  </si>
  <si>
    <t>Valid create body</t>
  </si>
  <si>
    <t>`401`; no category created</t>
  </si>
  <si>
    <t>Auth required before mutation</t>
  </si>
  <si>
    <t>Admin-only mutation</t>
  </si>
  <si>
    <t>C1-020</t>
  </si>
  <si>
    <t>Create with normal-user token</t>
  </si>
  <si>
    <t>`403`; no category created</t>
  </si>
  <si>
    <t>Role is checked, not merely token presence</t>
  </si>
  <si>
    <t>C1-021</t>
  </si>
  <si>
    <t>Create with malformed/expired token</t>
  </si>
  <si>
    <t>`401`/`403`; no category created</t>
  </si>
  <si>
    <t>No token diagnostics/stack trace</t>
  </si>
  <si>
    <t>Authentication boundary</t>
  </si>
  <si>
    <t>C1-022</t>
  </si>
  <si>
    <t>Update an existing category</t>
  </si>
  <si>
    <t>Valid admin token; create a disposable category</t>
  </si>
  <si>
    <t>`PUT /api/categories/{createdId}` body `{"name":"HW06-23127172-Updated"}`</t>
  </si>
  <si>
    <t>Success; later GET shows only this category renamed</t>
  </si>
  <si>
    <t>Server targets only path ID</t>
  </si>
  <si>
    <t>The API specification explicitly defines `PUT /api/categories/:id` as part of Category CRUD</t>
  </si>
  <si>
    <t>C1-023</t>
  </si>
  <si>
    <t>Update with missing name</t>
  </si>
  <si>
    <t>Valid admin token; existing category</t>
  </si>
  <si>
    <t>`PUT /api/categories/{id}` body `{}`</t>
  </si>
  <si>
    <t>`400`; name remains unchanged</t>
  </si>
  <si>
    <t>Required-name rule also applies on update</t>
  </si>
  <si>
    <t>Updating to no name violates FR-14’s mandatory-name rule</t>
  </si>
  <si>
    <t>C1-024</t>
  </si>
  <si>
    <t>Update with blank/whitespace name</t>
  </si>
  <si>
    <t>`PUT` with `""`, then `"   "`</t>
  </si>
  <si>
    <t>`400`; original name remains</t>
  </si>
  <si>
    <t>No blank category name persists</t>
  </si>
  <si>
    <t>C1-025</t>
  </si>
  <si>
    <t>Update non-existent category</t>
  </si>
  <si>
    <t>Valid admin token; record list first</t>
  </si>
  <si>
    <t>`PUT /api/categories/999999` with a valid name</t>
  </si>
  <si>
    <t>`404` or documented no-op; no new category</t>
  </si>
  <si>
    <t>Do not return false success</t>
  </si>
  <si>
    <t>Non-existent update status is unspecified</t>
  </si>
  <si>
    <t>C1-026</t>
  </si>
  <si>
    <t>Malformed category ID on update</t>
  </si>
  <si>
    <t>Test `0`, negative, decimal, nonnumeric, and SQLi-like IDs</t>
  </si>
  <si>
    <t>Safe 4xx/404; no category changes</t>
  </si>
  <si>
    <t>No SQL error or broad unintended update</t>
  </si>
  <si>
    <t>Exact path-parameter validation policy is unspecified</t>
  </si>
  <si>
    <t>C1-027</t>
  </si>
  <si>
    <t>Update without token</t>
  </si>
  <si>
    <t>No token; existing category</t>
  </si>
  <si>
    <t>Valid `PUT`</t>
  </si>
  <si>
    <t>`401`; name unchanged</t>
  </si>
  <si>
    <t>Authentication precedes mutation</t>
  </si>
  <si>
    <t>C1-028</t>
  </si>
  <si>
    <t>Update with normal-user token</t>
  </si>
  <si>
    <t>Valid normal-user token; existing category</t>
  </si>
  <si>
    <t>`403`; name unchanged</t>
  </si>
  <si>
    <t>Role authorization is enforced</t>
  </si>
  <si>
    <t>C1-029</t>
  </si>
  <si>
    <t>Delete a disposable category</t>
  </si>
  <si>
    <t>Valid admin token; create category and record ID</t>
  </si>
  <si>
    <t>`DELETE /api/categories/{createdId}`</t>
  </si>
  <si>
    <t>Success; later GET no longer contains ID</t>
  </si>
  <si>
    <t>Only target category is removed</t>
  </si>
  <si>
    <t>Main delete path</t>
  </si>
  <si>
    <t>C1-030</t>
  </si>
  <si>
    <t>Delete non-existent category</t>
  </si>
  <si>
    <t>Valid admin token; record category list</t>
  </si>
  <si>
    <t>`DELETE /api/categories/999999`</t>
  </si>
  <si>
    <t>`404` or documented no-op; existing categories unchanged</t>
  </si>
  <si>
    <t>No false-success/mutation</t>
  </si>
  <si>
    <t>Non-existent delete policy is unspecified</t>
  </si>
  <si>
    <t>C1-031</t>
  </si>
  <si>
    <t>Malformed ID on delete</t>
  </si>
  <si>
    <t>Test `0`, negative, decimal, nonnumeric, SQLi-like IDs</t>
  </si>
  <si>
    <t>No SQL error/broad delete</t>
  </si>
  <si>
    <t>C1-032</t>
  </si>
  <si>
    <t>Delete without token</t>
  </si>
  <si>
    <t>No token; disposable category exists</t>
  </si>
  <si>
    <t>`DELETE /api/categories/{id}`</t>
  </si>
  <si>
    <t>`401`; category remains</t>
  </si>
  <si>
    <t>C1-033</t>
  </si>
  <si>
    <t>Delete with normal-user token</t>
  </si>
  <si>
    <t>Valid normal-user token; disposable category exists</t>
  </si>
  <si>
    <t>`403`; category remains</t>
  </si>
  <si>
    <t>C1-034</t>
  </si>
  <si>
    <t>Full CRUD state path and isolation</t>
  </si>
  <si>
    <t>Valid admin token; unique disposable name</t>
  </si>
  <si>
    <t>Create → GET verifies ID/name → update → GET verifies change → delete → GET verifies absence</t>
  </si>
  <si>
    <t>All states occur in order; unrelated seeded categories unchanged</t>
  </si>
  <si>
    <t>IDs map to the intended record only</t>
  </si>
  <si>
    <t>End-to-end FR-14 lifecycle and regression guard</t>
  </si>
  <si>
    <t>C1-035</t>
  </si>
  <si>
    <t>Delete referenced category / concurrent mutation</t>
  </si>
  <si>
    <t>Valid admin token; category linked to product or two admin clients</t>
  </si>
  <si>
    <t>Attempt delete while referenced; separately send competing update/delete</t>
  </si>
  <si>
    <t>Preserve referential integrity and consistent final state</t>
  </si>
  <si>
    <t>No orphaned product, `500`, or partial mutation</t>
  </si>
  <si>
    <t>Referential-integrity and concurrency policies are not stated</t>
  </si>
  <si>
    <t>C1-036</t>
  </si>
  <si>
    <t>Reject names made only of non-ASCII whitespace</t>
  </si>
  <si>
    <t>Valid admin token; record category count</t>
  </si>
  <si>
    <t>Submit separate creates using tab/newline, non-breaking space (`U+00A0`), and ideographic space (`U+3000`) as `name`</t>
  </si>
  <si>
    <t>Each request is rejected; category count and existing records remain unchanged</t>
  </si>
  <si>
    <t>The AI covered ordinary spaces but did not expand the “empty name” equivalence class to Unicode whitespace</t>
  </si>
  <si>
    <t>C1-037</t>
  </si>
  <si>
    <t>Reject non-string names during update</t>
  </si>
  <si>
    <t>Valid admin token; disposable existing category</t>
  </si>
  <si>
    <t>Update the same ID with `name: null`, a number, array, and object in separate reset runs</t>
  </si>
  <si>
    <t>Every update is rejected; original name and all other categories remain unchanged</t>
  </si>
  <si>
    <t>The AI covered type confusion on create but did not apply the same required-name partition to update</t>
  </si>
  <si>
    <t>C1-038</t>
  </si>
  <si>
    <t>Ensure path ID wins over body mass-assignment fields on update</t>
  </si>
  <si>
    <t>Valid admin token; disposable categories A and B</t>
  </si>
  <si>
    <t>`PUT /api/categories/{A.id}` with a valid new name plus `{"id": B.id, "role":"admin"}`</t>
  </si>
  <si>
    <t>Only A's name changes; A/B IDs remain unchanged; B is untouched</t>
  </si>
  <si>
    <t>The AI tested mass assignment on create but omitted the equivalent update attack and path/body ID conflict</t>
  </si>
  <si>
    <t>C1-039</t>
  </si>
  <si>
    <t>Prevent stale deleted IDs from affecting later categories</t>
  </si>
  <si>
    <t>Valid admin token; disposable category A</t>
  </si>
  <si>
    <t>Create A → delete A → create B → attempt update and delete using stale `A.id`</t>
  </si>
  <si>
    <t>Stale-ID operations do not modify/delete B or any other category; B remains readable</t>
  </si>
  <si>
    <t>The AI tested arbitrary nonexistent IDs but missed a state-derived stale ID after a real delete/create lifecycle</t>
  </si>
  <si>
    <t>C1-040</t>
  </si>
  <si>
    <t>Preserve valid punctuation and JSON-escaped characters in a category name</t>
  </si>
  <si>
    <t>Create `HW06-23127172-Điện tử \"Cao cấp\" / IoT &amp; Nhà thông minh`, then read, update, and delete it</t>
  </si>
  <si>
    <t>Create/update succeed; GET preserves the exact decoded string; delete removes only that category</t>
  </si>
  <si>
    <t>The AI covered Unicode and injection separately but missed a legitimate complex name exercising JSON escaping throughout CRUD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</si>
</sst>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4E78"/>
    </font>
    <font>
      <i/>
      <color rgb="FF666666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SummaryTable" displayName="SummaryTable" ref="A6:L9" totalsRowShown="1" headerRowCount="1">
  <autoFilter ref="A6:L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API" totalsRowLabel="Total"/>
    <tableColumn id="2" name="Feature" totalsRowFunction="none"/>
    <tableColumn id="3" name="Total cases" totalsRowFunction="none"/>
    <tableColumn id="4" name="AI cases" totalsRowFunction="none"/>
    <tableColumn id="5" name="Student cases" totalsRowFunction="none"/>
    <tableColumn id="6" name="VALID" totalsRowFunction="none"/>
    <tableColumn id="7" name="INVALID" totalsRowFunction="none"/>
    <tableColumn id="8" name="INCOMPLETE" totalsRowFunction="none"/>
    <tableColumn id="9" name="Executed" totalsRowFunction="none"/>
    <tableColumn id="10" name="Passed cases" totalsRowFunction="none"/>
    <tableColumn id="11" name="Failed cases" totalsRowFunction="none"/>
    <tableColumn id="12" name="Assertions passed / total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FR02CasesTable" displayName="FR02CasesTable" ref="A4:J44" totalsRowShown="1" headerRowCount="1">
  <autoFilter ref="A4:J4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ID" totalsRowLabel="Total"/>
    <tableColumn id="2" name="Source" totalsRowFunction="none"/>
    <tableColumn id="3" name="Objective / transition" totalsRowFunction="none"/>
    <tableColumn id="4" name="Preconditions" totalsRowFunction="none"/>
    <tableColumn id="5" name="Request data / steps" totalsRowFunction="none"/>
    <tableColumn id="6" name="Expected result" totalsRowFunction="none"/>
    <tableColumn id="7" name="Security / schema assertion" totalsRowFunction="none"/>
    <tableColumn id="8" name="Audit" totalsRowFunction="none"/>
    <tableColumn id="9" name="Audit reasoning" totalsRowFunction="none"/>
    <tableColumn id="10" name="Actual / evidence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FR08CasesTable" displayName="FR08CasesTable" ref="A4:J44" totalsRowShown="1" headerRowCount="1">
  <autoFilter ref="A4:J4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ID" totalsRowLabel="Total"/>
    <tableColumn id="2" name="Source" totalsRowFunction="none"/>
    <tableColumn id="3" name="Objective / transition" totalsRowFunction="none"/>
    <tableColumn id="4" name="Preconditions" totalsRowFunction="none"/>
    <tableColumn id="5" name="Request data / steps" totalsRowFunction="none"/>
    <tableColumn id="6" name="Expected result" totalsRowFunction="none"/>
    <tableColumn id="7" name="Security / schema assertion" totalsRowFunction="none"/>
    <tableColumn id="8" name="Audit" totalsRowFunction="none"/>
    <tableColumn id="9" name="Audit reasoning" totalsRowFunction="none"/>
    <tableColumn id="10" name="Actual / evidence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FR14CasesTable" displayName="FR14CasesTable" ref="A4:J44" totalsRowShown="1" headerRowCount="1">
  <autoFilter ref="A4:J4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ID" totalsRowLabel="Total"/>
    <tableColumn id="2" name="Source" totalsRowFunction="none"/>
    <tableColumn id="3" name="Objective / transition" totalsRowFunction="none"/>
    <tableColumn id="4" name="Preconditions" totalsRowFunction="none"/>
    <tableColumn id="5" name="Request data / steps" totalsRowFunction="none"/>
    <tableColumn id="6" name="Expected result" totalsRowFunction="none"/>
    <tableColumn id="7" name="Security / schema assertion" totalsRowFunction="none"/>
    <tableColumn id="8" name="Audit" totalsRowFunction="none"/>
    <tableColumn id="9" name="Audit reasoning" totalsRowFunction="none"/>
    <tableColumn id="10" name="Actual / evidence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8" customWidth="1"/>
    <col min="3" max="3" width="13" customWidth="1"/>
    <col min="4" max="4" width="12" customWidth="1"/>
    <col min="5" max="5" width="14" customWidth="1"/>
    <col min="6" max="7" width="11" customWidth="1"/>
    <col min="8" max="8" width="14" customWidth="1"/>
    <col min="9" max="9" width="12" customWidth="1"/>
    <col min="10" max="11" width="15" customWidth="1"/>
    <col min="12" max="12" width="23" customWidth="1"/>
  </cols>
  <sheetData>
    <row r="1" ht="28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5" x14ac:dyDescent="0.25">
      <c r="A2" s="2" t="s">
        <v>1</v>
      </c>
      <c r="B2" t="s">
        <v>2</v>
      </c>
      <c r="D2" s="2" t="s">
        <v>3</v>
      </c>
      <c r="E2" t="s">
        <v>4</v>
      </c>
    </row>
    <row r="4" spans="1:12" x14ac:dyDescent="0.25">
      <c r="A4" s="3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6" spans="1:12" x14ac:dyDescent="0.25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</row>
    <row r="7" spans="1:12" x14ac:dyDescent="0.25">
      <c r="A7" t="s">
        <v>18</v>
      </c>
      <c r="B7" t="s">
        <v>19</v>
      </c>
      <c r="C7">
        <f>COUNTA('FR-02 Cases'!A5:A44)</f>
      </c>
      <c r="D7">
        <f>COUNTIF('FR-02 Cases'!B5:B44,"AI")</f>
      </c>
      <c r="E7">
        <f>COUNTIF('FR-02 Cases'!B5:B44,"Student")</f>
      </c>
      <c r="F7">
        <f>COUNTIF('FR-02 Cases'!H5:H44,"VALID")</f>
      </c>
      <c r="G7">
        <f>COUNTIF('FR-02 Cases'!H5:H44,"INVALID")</f>
      </c>
      <c r="H7">
        <f>COUNTIF('FR-02 Cases'!H5:H44,"INCOMPLETE")</f>
      </c>
      <c r="I7">
        <v>40</v>
      </c>
      <c r="J7">
        <v>35</v>
      </c>
      <c r="K7">
        <v>5</v>
      </c>
      <c r="L7" t="s">
        <v>20</v>
      </c>
    </row>
    <row r="8" spans="1:12" x14ac:dyDescent="0.25">
      <c r="A8" t="s">
        <v>21</v>
      </c>
      <c r="B8" t="s">
        <v>22</v>
      </c>
      <c r="C8">
        <f>COUNTA('FR-08 Cases'!A5:A44)</f>
      </c>
      <c r="D8">
        <f>COUNTIF('FR-08 Cases'!B5:B44,"AI")</f>
      </c>
      <c r="E8">
        <f>COUNTIF('FR-08 Cases'!B5:B44,"Student")</f>
      </c>
      <c r="F8">
        <f>COUNTIF('FR-08 Cases'!H5:H44,"VALID")</f>
      </c>
      <c r="G8">
        <f>COUNTIF('FR-08 Cases'!H5:H44,"INVALID")</f>
      </c>
      <c r="H8">
        <f>COUNTIF('FR-08 Cases'!H5:H44,"INCOMPLETE")</f>
      </c>
      <c r="I8">
        <v>40</v>
      </c>
      <c r="J8">
        <v>30</v>
      </c>
      <c r="K8">
        <v>10</v>
      </c>
      <c r="L8" t="s">
        <v>23</v>
      </c>
    </row>
    <row r="9" spans="1:12" x14ac:dyDescent="0.25">
      <c r="A9" t="s">
        <v>24</v>
      </c>
      <c r="B9" t="s">
        <v>25</v>
      </c>
      <c r="C9">
        <f>COUNTA('FR-14 Cases'!A5:A44)</f>
      </c>
      <c r="D9">
        <f>COUNTIF('FR-14 Cases'!B5:B44,"AI")</f>
      </c>
      <c r="E9">
        <f>COUNTIF('FR-14 Cases'!B5:B44,"Student")</f>
      </c>
      <c r="F9">
        <f>COUNTIF('FR-14 Cases'!H5:H44,"VALID")</f>
      </c>
      <c r="G9">
        <f>COUNTIF('FR-14 Cases'!H5:H44,"INVALID")</f>
      </c>
      <c r="H9">
        <f>COUNTIF('FR-14 Cases'!H5:H44,"INCOMPLETE")</f>
      </c>
      <c r="I9">
        <v>40</v>
      </c>
      <c r="J9">
        <v>22</v>
      </c>
      <c r="K9">
        <v>18</v>
      </c>
      <c r="L9" t="s">
        <v>26</v>
      </c>
    </row>
    <row r="10" spans="1:12" s="4" customFormat="1" x14ac:dyDescent="0.25">
      <c r="A10" s="4" t="s">
        <v>27</v>
      </c>
      <c r="B10" s="4" t="s">
        <v>28</v>
      </c>
      <c r="C10" s="4">
        <f>SUM(C7:C9)</f>
      </c>
      <c r="D10" s="4">
        <f>SUM(D7:D9)</f>
      </c>
      <c r="E10" s="4">
        <f>SUM(E7:E9)</f>
      </c>
      <c r="F10" s="4">
        <f>SUM(F7:F9)</f>
      </c>
      <c r="G10" s="4">
        <f>SUM(G7:G9)</f>
      </c>
      <c r="H10" s="4">
        <f>SUM(H7:H9)</f>
      </c>
      <c r="I10" s="4">
        <f>SUM(I7:I9)</f>
      </c>
      <c r="J10" s="4">
        <f>SUM(J7:J9)</f>
      </c>
      <c r="K10" s="4">
        <f>SUM(K7:K9)</f>
      </c>
      <c r="L10" s="4" t="s">
        <v>28</v>
      </c>
    </row>
  </sheetData>
  <mergeCells count="2">
    <mergeCell ref="A1:L1"/>
    <mergeCell ref="A4:L4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3" max="3" width="34" customWidth="1"/>
    <col min="4" max="4" width="30" customWidth="1"/>
    <col min="5" max="5" width="44" customWidth="1"/>
    <col min="6" max="7" width="38" customWidth="1"/>
    <col min="8" max="8" width="14" customWidth="1"/>
    <col min="9" max="9" width="34" customWidth="1"/>
    <col min="10" max="10" width="32" customWidth="1"/>
  </cols>
  <sheetData>
    <row r="1" ht="28" customHeight="1" spans="1:10" x14ac:dyDescent="0.25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t="s">
        <v>2</v>
      </c>
      <c r="D2" s="2" t="s">
        <v>8</v>
      </c>
      <c r="E2">
        <v>40</v>
      </c>
      <c r="G2" s="2" t="s">
        <v>9</v>
      </c>
      <c r="H2">
        <f>COUNTIF(B5:B44,"AI")</f>
      </c>
      <c r="I2" s="2" t="s">
        <v>10</v>
      </c>
      <c r="J2">
        <f>COUNTIF(B5:B44,"Student")</f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s="5" customFormat="1" x14ac:dyDescent="0.25">
      <c r="A5" s="5" t="s">
        <v>40</v>
      </c>
      <c r="B5" s="5" t="s">
        <v>41</v>
      </c>
      <c r="C5" s="5" t="s">
        <v>42</v>
      </c>
      <c r="D5" s="5" t="s">
        <v>43</v>
      </c>
      <c r="E5" s="5" t="s">
        <v>44</v>
      </c>
      <c r="F5" s="5" t="s">
        <v>45</v>
      </c>
      <c r="G5" s="5" t="s">
        <v>46</v>
      </c>
      <c r="H5" s="6" t="s">
        <v>11</v>
      </c>
      <c r="I5" s="5" t="s">
        <v>47</v>
      </c>
      <c r="J5" s="5" t="s">
        <v>28</v>
      </c>
    </row>
    <row r="6" spans="1:10" s="5" customFormat="1" x14ac:dyDescent="0.25">
      <c r="A6" s="5" t="s">
        <v>48</v>
      </c>
      <c r="B6" s="5" t="s">
        <v>41</v>
      </c>
      <c r="C6" s="5" t="s">
        <v>49</v>
      </c>
      <c r="D6" s="5" t="s">
        <v>43</v>
      </c>
      <c r="E6" s="5" t="s">
        <v>50</v>
      </c>
      <c r="F6" s="5" t="s">
        <v>51</v>
      </c>
      <c r="G6" s="5" t="s">
        <v>52</v>
      </c>
      <c r="H6" s="7" t="s">
        <v>13</v>
      </c>
      <c r="I6" s="5" t="s">
        <v>53</v>
      </c>
      <c r="J6" s="5" t="s">
        <v>28</v>
      </c>
    </row>
    <row r="7" spans="1:10" s="5" customFormat="1" x14ac:dyDescent="0.25">
      <c r="A7" s="5" t="s">
        <v>54</v>
      </c>
      <c r="B7" s="5" t="s">
        <v>41</v>
      </c>
      <c r="C7" s="5" t="s">
        <v>55</v>
      </c>
      <c r="D7" s="5" t="s">
        <v>43</v>
      </c>
      <c r="E7" s="5" t="s">
        <v>56</v>
      </c>
      <c r="F7" s="5" t="s">
        <v>57</v>
      </c>
      <c r="G7" s="5" t="s">
        <v>58</v>
      </c>
      <c r="H7" s="7" t="s">
        <v>13</v>
      </c>
      <c r="I7" s="5" t="s">
        <v>59</v>
      </c>
      <c r="J7" s="5" t="s">
        <v>28</v>
      </c>
    </row>
    <row r="8" spans="1:10" s="5" customFormat="1" x14ac:dyDescent="0.25">
      <c r="A8" s="5" t="s">
        <v>60</v>
      </c>
      <c r="B8" s="5" t="s">
        <v>41</v>
      </c>
      <c r="C8" s="5" t="s">
        <v>61</v>
      </c>
      <c r="D8" s="5" t="s">
        <v>43</v>
      </c>
      <c r="E8" s="5" t="s">
        <v>62</v>
      </c>
      <c r="F8" s="5" t="s">
        <v>63</v>
      </c>
      <c r="G8" s="5" t="s">
        <v>64</v>
      </c>
      <c r="H8" s="6" t="s">
        <v>11</v>
      </c>
      <c r="I8" s="5" t="s">
        <v>65</v>
      </c>
      <c r="J8" s="5" t="s">
        <v>28</v>
      </c>
    </row>
    <row r="9" spans="1:10" s="5" customFormat="1" x14ac:dyDescent="0.25">
      <c r="A9" s="5" t="s">
        <v>66</v>
      </c>
      <c r="B9" s="5" t="s">
        <v>41</v>
      </c>
      <c r="C9" s="5" t="s">
        <v>67</v>
      </c>
      <c r="D9" s="5" t="s">
        <v>68</v>
      </c>
      <c r="E9" s="5" t="s">
        <v>69</v>
      </c>
      <c r="F9" s="5" t="s">
        <v>70</v>
      </c>
      <c r="G9" s="5" t="s">
        <v>71</v>
      </c>
      <c r="H9" s="6" t="s">
        <v>11</v>
      </c>
      <c r="I9" s="5" t="s">
        <v>72</v>
      </c>
      <c r="J9" s="5" t="s">
        <v>28</v>
      </c>
    </row>
    <row r="10" spans="1:10" s="5" customFormat="1" x14ac:dyDescent="0.25">
      <c r="A10" s="5" t="s">
        <v>73</v>
      </c>
      <c r="B10" s="5" t="s">
        <v>41</v>
      </c>
      <c r="C10" s="5" t="s">
        <v>74</v>
      </c>
      <c r="D10" s="5" t="s">
        <v>68</v>
      </c>
      <c r="E10" s="5" t="s">
        <v>75</v>
      </c>
      <c r="F10" s="5" t="s">
        <v>70</v>
      </c>
      <c r="G10" s="5" t="s">
        <v>71</v>
      </c>
      <c r="H10" s="6" t="s">
        <v>11</v>
      </c>
      <c r="I10" s="5" t="s">
        <v>72</v>
      </c>
      <c r="J10" s="5" t="s">
        <v>28</v>
      </c>
    </row>
    <row r="11" spans="1:10" s="5" customFormat="1" x14ac:dyDescent="0.25">
      <c r="A11" s="5" t="s">
        <v>76</v>
      </c>
      <c r="B11" s="5" t="s">
        <v>41</v>
      </c>
      <c r="C11" s="5" t="s">
        <v>77</v>
      </c>
      <c r="D11" s="5" t="s">
        <v>68</v>
      </c>
      <c r="E11" s="5" t="s">
        <v>78</v>
      </c>
      <c r="F11" s="5" t="s">
        <v>70</v>
      </c>
      <c r="G11" s="5" t="s">
        <v>79</v>
      </c>
      <c r="H11" s="6" t="s">
        <v>11</v>
      </c>
      <c r="I11" s="5" t="s">
        <v>80</v>
      </c>
      <c r="J11" s="5" t="s">
        <v>28</v>
      </c>
    </row>
    <row r="12" spans="1:10" s="5" customFormat="1" x14ac:dyDescent="0.25">
      <c r="A12" s="5" t="s">
        <v>81</v>
      </c>
      <c r="B12" s="5" t="s">
        <v>41</v>
      </c>
      <c r="C12" s="5" t="s">
        <v>82</v>
      </c>
      <c r="D12" s="5" t="s">
        <v>68</v>
      </c>
      <c r="E12" s="5" t="s">
        <v>83</v>
      </c>
      <c r="F12" s="5" t="s">
        <v>70</v>
      </c>
      <c r="G12" s="5" t="s">
        <v>84</v>
      </c>
      <c r="H12" s="6" t="s">
        <v>11</v>
      </c>
      <c r="I12" s="5" t="s">
        <v>85</v>
      </c>
      <c r="J12" s="5" t="s">
        <v>28</v>
      </c>
    </row>
    <row r="13" spans="1:10" s="5" customFormat="1" x14ac:dyDescent="0.25">
      <c r="A13" s="5" t="s">
        <v>86</v>
      </c>
      <c r="B13" s="5" t="s">
        <v>41</v>
      </c>
      <c r="C13" s="5" t="s">
        <v>87</v>
      </c>
      <c r="D13" s="5" t="s">
        <v>68</v>
      </c>
      <c r="E13" s="5" t="s">
        <v>88</v>
      </c>
      <c r="F13" s="5" t="s">
        <v>70</v>
      </c>
      <c r="G13" s="5" t="s">
        <v>84</v>
      </c>
      <c r="H13" s="6" t="s">
        <v>11</v>
      </c>
      <c r="I13" s="5" t="s">
        <v>85</v>
      </c>
      <c r="J13" s="5" t="s">
        <v>28</v>
      </c>
    </row>
    <row r="14" spans="1:10" s="5" customFormat="1" x14ac:dyDescent="0.25">
      <c r="A14" s="5" t="s">
        <v>89</v>
      </c>
      <c r="B14" s="5" t="s">
        <v>41</v>
      </c>
      <c r="C14" s="5" t="s">
        <v>90</v>
      </c>
      <c r="D14" s="5" t="s">
        <v>68</v>
      </c>
      <c r="E14" s="5" t="s">
        <v>91</v>
      </c>
      <c r="F14" s="5" t="s">
        <v>70</v>
      </c>
      <c r="G14" s="5" t="s">
        <v>84</v>
      </c>
      <c r="H14" s="6" t="s">
        <v>11</v>
      </c>
      <c r="I14" s="5" t="s">
        <v>85</v>
      </c>
      <c r="J14" s="5" t="s">
        <v>28</v>
      </c>
    </row>
    <row r="15" spans="1:10" s="5" customFormat="1" x14ac:dyDescent="0.25">
      <c r="A15" s="5" t="s">
        <v>92</v>
      </c>
      <c r="B15" s="5" t="s">
        <v>41</v>
      </c>
      <c r="C15" s="5" t="s">
        <v>93</v>
      </c>
      <c r="D15" s="5" t="s">
        <v>68</v>
      </c>
      <c r="E15" s="5" t="s">
        <v>94</v>
      </c>
      <c r="F15" s="5" t="s">
        <v>70</v>
      </c>
      <c r="G15" s="5" t="s">
        <v>95</v>
      </c>
      <c r="H15" s="6" t="s">
        <v>11</v>
      </c>
      <c r="I15" s="5" t="s">
        <v>96</v>
      </c>
      <c r="J15" s="5" t="s">
        <v>28</v>
      </c>
    </row>
    <row r="16" spans="1:10" s="5" customFormat="1" x14ac:dyDescent="0.25">
      <c r="A16" s="5" t="s">
        <v>97</v>
      </c>
      <c r="B16" s="5" t="s">
        <v>41</v>
      </c>
      <c r="C16" s="5" t="s">
        <v>98</v>
      </c>
      <c r="D16" s="5" t="s">
        <v>68</v>
      </c>
      <c r="E16" s="5" t="s">
        <v>99</v>
      </c>
      <c r="F16" s="5" t="s">
        <v>70</v>
      </c>
      <c r="G16" s="5" t="s">
        <v>95</v>
      </c>
      <c r="H16" s="6" t="s">
        <v>11</v>
      </c>
      <c r="I16" s="5" t="s">
        <v>96</v>
      </c>
      <c r="J16" s="5" t="s">
        <v>28</v>
      </c>
    </row>
    <row r="17" spans="1:10" s="5" customFormat="1" x14ac:dyDescent="0.25">
      <c r="A17" s="5" t="s">
        <v>100</v>
      </c>
      <c r="B17" s="5" t="s">
        <v>41</v>
      </c>
      <c r="C17" s="5" t="s">
        <v>101</v>
      </c>
      <c r="D17" s="5" t="s">
        <v>68</v>
      </c>
      <c r="E17" s="5" t="s">
        <v>102</v>
      </c>
      <c r="F17" s="5" t="s">
        <v>70</v>
      </c>
      <c r="G17" s="5" t="s">
        <v>95</v>
      </c>
      <c r="H17" s="6" t="s">
        <v>11</v>
      </c>
      <c r="I17" s="5" t="s">
        <v>96</v>
      </c>
      <c r="J17" s="5" t="s">
        <v>28</v>
      </c>
    </row>
    <row r="18" spans="1:10" s="5" customFormat="1" x14ac:dyDescent="0.25">
      <c r="A18" s="5" t="s">
        <v>103</v>
      </c>
      <c r="B18" s="5" t="s">
        <v>41</v>
      </c>
      <c r="C18" s="5" t="s">
        <v>104</v>
      </c>
      <c r="D18" s="5" t="s">
        <v>68</v>
      </c>
      <c r="E18" s="5" t="s">
        <v>105</v>
      </c>
      <c r="F18" s="5" t="s">
        <v>70</v>
      </c>
      <c r="G18" s="5" t="s">
        <v>106</v>
      </c>
      <c r="H18" s="6" t="s">
        <v>11</v>
      </c>
      <c r="I18" s="5" t="s">
        <v>85</v>
      </c>
      <c r="J18" s="5" t="s">
        <v>28</v>
      </c>
    </row>
    <row r="19" spans="1:10" s="5" customFormat="1" x14ac:dyDescent="0.25">
      <c r="A19" s="5" t="s">
        <v>107</v>
      </c>
      <c r="B19" s="5" t="s">
        <v>41</v>
      </c>
      <c r="C19" s="5" t="s">
        <v>108</v>
      </c>
      <c r="D19" s="5" t="s">
        <v>68</v>
      </c>
      <c r="E19" s="5" t="s">
        <v>109</v>
      </c>
      <c r="F19" s="5" t="s">
        <v>110</v>
      </c>
      <c r="G19" s="5" t="s">
        <v>111</v>
      </c>
      <c r="H19" s="7" t="s">
        <v>13</v>
      </c>
      <c r="I19" s="5" t="s">
        <v>112</v>
      </c>
      <c r="J19" s="5" t="s">
        <v>28</v>
      </c>
    </row>
    <row r="20" spans="1:10" s="5" customFormat="1" x14ac:dyDescent="0.25">
      <c r="A20" s="5" t="s">
        <v>113</v>
      </c>
      <c r="B20" s="5" t="s">
        <v>41</v>
      </c>
      <c r="C20" s="5" t="s">
        <v>114</v>
      </c>
      <c r="D20" s="5" t="s">
        <v>68</v>
      </c>
      <c r="E20" s="5" t="s">
        <v>115</v>
      </c>
      <c r="F20" s="5" t="s">
        <v>110</v>
      </c>
      <c r="G20" s="5" t="s">
        <v>111</v>
      </c>
      <c r="H20" s="7" t="s">
        <v>13</v>
      </c>
      <c r="I20" s="5" t="s">
        <v>112</v>
      </c>
      <c r="J20" s="5" t="s">
        <v>28</v>
      </c>
    </row>
    <row r="21" spans="1:10" s="5" customFormat="1" x14ac:dyDescent="0.25">
      <c r="A21" s="5" t="s">
        <v>116</v>
      </c>
      <c r="B21" s="5" t="s">
        <v>41</v>
      </c>
      <c r="C21" s="5" t="s">
        <v>117</v>
      </c>
      <c r="D21" s="5" t="s">
        <v>68</v>
      </c>
      <c r="E21" s="5" t="s">
        <v>118</v>
      </c>
      <c r="F21" s="5" t="s">
        <v>119</v>
      </c>
      <c r="G21" s="5" t="s">
        <v>120</v>
      </c>
      <c r="H21" s="7" t="s">
        <v>13</v>
      </c>
      <c r="I21" s="5" t="s">
        <v>121</v>
      </c>
      <c r="J21" s="5" t="s">
        <v>28</v>
      </c>
    </row>
    <row r="22" spans="1:10" s="5" customFormat="1" x14ac:dyDescent="0.25">
      <c r="A22" s="5" t="s">
        <v>122</v>
      </c>
      <c r="B22" s="5" t="s">
        <v>41</v>
      </c>
      <c r="C22" s="5" t="s">
        <v>123</v>
      </c>
      <c r="D22" s="5" t="s">
        <v>124</v>
      </c>
      <c r="E22" s="5" t="s">
        <v>125</v>
      </c>
      <c r="F22" s="5" t="s">
        <v>126</v>
      </c>
      <c r="G22" s="5" t="s">
        <v>127</v>
      </c>
      <c r="H22" s="7" t="s">
        <v>13</v>
      </c>
      <c r="I22" s="5" t="s">
        <v>128</v>
      </c>
      <c r="J22" s="5" t="s">
        <v>28</v>
      </c>
    </row>
    <row r="23" spans="1:10" s="5" customFormat="1" x14ac:dyDescent="0.25">
      <c r="A23" s="5" t="s">
        <v>129</v>
      </c>
      <c r="B23" s="5" t="s">
        <v>41</v>
      </c>
      <c r="C23" s="5" t="s">
        <v>130</v>
      </c>
      <c r="D23" s="5" t="s">
        <v>68</v>
      </c>
      <c r="E23" s="5" t="s">
        <v>131</v>
      </c>
      <c r="F23" s="5" t="s">
        <v>70</v>
      </c>
      <c r="G23" s="5" t="s">
        <v>132</v>
      </c>
      <c r="H23" s="6" t="s">
        <v>11</v>
      </c>
      <c r="I23" s="5" t="s">
        <v>133</v>
      </c>
      <c r="J23" s="5" t="s">
        <v>28</v>
      </c>
    </row>
    <row r="24" spans="1:10" s="5" customFormat="1" x14ac:dyDescent="0.25">
      <c r="A24" s="5" t="s">
        <v>134</v>
      </c>
      <c r="B24" s="5" t="s">
        <v>41</v>
      </c>
      <c r="C24" s="5" t="s">
        <v>135</v>
      </c>
      <c r="D24" s="5" t="s">
        <v>68</v>
      </c>
      <c r="E24" s="5" t="s">
        <v>136</v>
      </c>
      <c r="F24" s="5" t="s">
        <v>70</v>
      </c>
      <c r="G24" s="5" t="s">
        <v>132</v>
      </c>
      <c r="H24" s="6" t="s">
        <v>11</v>
      </c>
      <c r="I24" s="5" t="s">
        <v>133</v>
      </c>
      <c r="J24" s="5" t="s">
        <v>28</v>
      </c>
    </row>
    <row r="25" spans="1:10" s="5" customFormat="1" x14ac:dyDescent="0.25">
      <c r="A25" s="5" t="s">
        <v>137</v>
      </c>
      <c r="B25" s="5" t="s">
        <v>41</v>
      </c>
      <c r="C25" s="5" t="s">
        <v>138</v>
      </c>
      <c r="D25" s="5" t="s">
        <v>68</v>
      </c>
      <c r="E25" s="5" t="s">
        <v>139</v>
      </c>
      <c r="F25" s="5" t="s">
        <v>70</v>
      </c>
      <c r="G25" s="5" t="s">
        <v>95</v>
      </c>
      <c r="H25" s="6" t="s">
        <v>11</v>
      </c>
      <c r="I25" s="5" t="s">
        <v>140</v>
      </c>
      <c r="J25" s="5" t="s">
        <v>28</v>
      </c>
    </row>
    <row r="26" spans="1:10" s="5" customFormat="1" x14ac:dyDescent="0.25">
      <c r="A26" s="5" t="s">
        <v>141</v>
      </c>
      <c r="B26" s="5" t="s">
        <v>41</v>
      </c>
      <c r="C26" s="5" t="s">
        <v>142</v>
      </c>
      <c r="D26" s="5" t="s">
        <v>68</v>
      </c>
      <c r="E26" s="5" t="s">
        <v>143</v>
      </c>
      <c r="F26" s="5" t="s">
        <v>70</v>
      </c>
      <c r="G26" s="5" t="s">
        <v>95</v>
      </c>
      <c r="H26" s="6" t="s">
        <v>11</v>
      </c>
      <c r="I26" s="5" t="s">
        <v>140</v>
      </c>
      <c r="J26" s="5" t="s">
        <v>28</v>
      </c>
    </row>
    <row r="27" spans="1:10" s="5" customFormat="1" x14ac:dyDescent="0.25">
      <c r="A27" s="5" t="s">
        <v>144</v>
      </c>
      <c r="B27" s="5" t="s">
        <v>41</v>
      </c>
      <c r="C27" s="5" t="s">
        <v>145</v>
      </c>
      <c r="D27" s="5" t="s">
        <v>43</v>
      </c>
      <c r="E27" s="5" t="s">
        <v>146</v>
      </c>
      <c r="F27" s="5" t="s">
        <v>147</v>
      </c>
      <c r="G27" s="5" t="s">
        <v>148</v>
      </c>
      <c r="H27" s="6" t="s">
        <v>11</v>
      </c>
      <c r="I27" s="5" t="s">
        <v>149</v>
      </c>
      <c r="J27" s="5" t="s">
        <v>28</v>
      </c>
    </row>
    <row r="28" spans="1:10" s="5" customFormat="1" x14ac:dyDescent="0.25">
      <c r="A28" s="5" t="s">
        <v>150</v>
      </c>
      <c r="B28" s="5" t="s">
        <v>41</v>
      </c>
      <c r="C28" s="5" t="s">
        <v>151</v>
      </c>
      <c r="D28" s="5" t="s">
        <v>68</v>
      </c>
      <c r="E28" s="5" t="s">
        <v>152</v>
      </c>
      <c r="F28" s="5" t="s">
        <v>70</v>
      </c>
      <c r="G28" s="5" t="s">
        <v>153</v>
      </c>
      <c r="H28" s="6" t="s">
        <v>11</v>
      </c>
      <c r="I28" s="5" t="s">
        <v>154</v>
      </c>
      <c r="J28" s="5" t="s">
        <v>28</v>
      </c>
    </row>
    <row r="29" spans="1:10" s="5" customFormat="1" x14ac:dyDescent="0.25">
      <c r="A29" s="5" t="s">
        <v>155</v>
      </c>
      <c r="B29" s="5" t="s">
        <v>41</v>
      </c>
      <c r="C29" s="5" t="s">
        <v>156</v>
      </c>
      <c r="D29" s="5" t="s">
        <v>68</v>
      </c>
      <c r="E29" s="5" t="s">
        <v>157</v>
      </c>
      <c r="F29" s="5" t="s">
        <v>70</v>
      </c>
      <c r="G29" s="5" t="s">
        <v>158</v>
      </c>
      <c r="H29" s="6" t="s">
        <v>11</v>
      </c>
      <c r="I29" s="5" t="s">
        <v>154</v>
      </c>
      <c r="J29" s="5" t="s">
        <v>28</v>
      </c>
    </row>
    <row r="30" spans="1:10" s="5" customFormat="1" x14ac:dyDescent="0.25">
      <c r="A30" s="5" t="s">
        <v>159</v>
      </c>
      <c r="B30" s="5" t="s">
        <v>41</v>
      </c>
      <c r="C30" s="5" t="s">
        <v>160</v>
      </c>
      <c r="D30" s="5" t="s">
        <v>68</v>
      </c>
      <c r="E30" s="5" t="s">
        <v>161</v>
      </c>
      <c r="F30" s="5" t="s">
        <v>70</v>
      </c>
      <c r="G30" s="5" t="s">
        <v>162</v>
      </c>
      <c r="H30" s="6" t="s">
        <v>11</v>
      </c>
      <c r="I30" s="5" t="s">
        <v>163</v>
      </c>
      <c r="J30" s="5" t="s">
        <v>28</v>
      </c>
    </row>
    <row r="31" spans="1:10" s="5" customFormat="1" x14ac:dyDescent="0.25">
      <c r="A31" s="5" t="s">
        <v>164</v>
      </c>
      <c r="B31" s="5" t="s">
        <v>41</v>
      </c>
      <c r="C31" s="5" t="s">
        <v>165</v>
      </c>
      <c r="D31" s="5" t="s">
        <v>68</v>
      </c>
      <c r="E31" s="5" t="s">
        <v>166</v>
      </c>
      <c r="F31" s="5" t="s">
        <v>167</v>
      </c>
      <c r="G31" s="5" t="s">
        <v>168</v>
      </c>
      <c r="H31" s="7" t="s">
        <v>13</v>
      </c>
      <c r="I31" s="5" t="s">
        <v>169</v>
      </c>
      <c r="J31" s="5" t="s">
        <v>28</v>
      </c>
    </row>
    <row r="32" spans="1:10" s="5" customFormat="1" x14ac:dyDescent="0.25">
      <c r="A32" s="5" t="s">
        <v>170</v>
      </c>
      <c r="B32" s="5" t="s">
        <v>41</v>
      </c>
      <c r="C32" s="5" t="s">
        <v>171</v>
      </c>
      <c r="D32" s="5" t="s">
        <v>68</v>
      </c>
      <c r="E32" s="5" t="s">
        <v>172</v>
      </c>
      <c r="F32" s="5" t="s">
        <v>70</v>
      </c>
      <c r="G32" s="5" t="s">
        <v>173</v>
      </c>
      <c r="H32" s="6" t="s">
        <v>11</v>
      </c>
      <c r="I32" s="5" t="s">
        <v>174</v>
      </c>
      <c r="J32" s="5" t="s">
        <v>28</v>
      </c>
    </row>
    <row r="33" spans="1:10" s="5" customFormat="1" x14ac:dyDescent="0.25">
      <c r="A33" s="5" t="s">
        <v>175</v>
      </c>
      <c r="B33" s="5" t="s">
        <v>41</v>
      </c>
      <c r="C33" s="5" t="s">
        <v>176</v>
      </c>
      <c r="D33" s="5" t="s">
        <v>43</v>
      </c>
      <c r="E33" s="5" t="s">
        <v>177</v>
      </c>
      <c r="F33" s="5" t="s">
        <v>70</v>
      </c>
      <c r="G33" s="5" t="s">
        <v>178</v>
      </c>
      <c r="H33" s="6" t="s">
        <v>11</v>
      </c>
      <c r="I33" s="5" t="s">
        <v>174</v>
      </c>
      <c r="J33" s="5" t="s">
        <v>28</v>
      </c>
    </row>
    <row r="34" spans="1:10" s="5" customFormat="1" x14ac:dyDescent="0.25">
      <c r="A34" s="5" t="s">
        <v>179</v>
      </c>
      <c r="B34" s="5" t="s">
        <v>41</v>
      </c>
      <c r="C34" s="5" t="s">
        <v>180</v>
      </c>
      <c r="D34" s="5" t="s">
        <v>181</v>
      </c>
      <c r="E34" s="5" t="s">
        <v>182</v>
      </c>
      <c r="F34" s="5" t="s">
        <v>183</v>
      </c>
      <c r="G34" s="5" t="s">
        <v>184</v>
      </c>
      <c r="H34" s="7" t="s">
        <v>13</v>
      </c>
      <c r="I34" s="5" t="s">
        <v>185</v>
      </c>
      <c r="J34" s="5" t="s">
        <v>28</v>
      </c>
    </row>
    <row r="35" spans="1:10" s="5" customFormat="1" x14ac:dyDescent="0.25">
      <c r="A35" s="5" t="s">
        <v>186</v>
      </c>
      <c r="B35" s="5" t="s">
        <v>41</v>
      </c>
      <c r="C35" s="5" t="s">
        <v>187</v>
      </c>
      <c r="D35" s="5" t="s">
        <v>188</v>
      </c>
      <c r="E35" s="5" t="s">
        <v>177</v>
      </c>
      <c r="F35" s="5" t="s">
        <v>189</v>
      </c>
      <c r="G35" s="5" t="s">
        <v>190</v>
      </c>
      <c r="H35" s="6" t="s">
        <v>11</v>
      </c>
      <c r="I35" s="5" t="s">
        <v>191</v>
      </c>
      <c r="J35" s="5" t="s">
        <v>28</v>
      </c>
    </row>
    <row r="36" spans="1:10" s="5" customFormat="1" x14ac:dyDescent="0.25">
      <c r="A36" s="5" t="s">
        <v>192</v>
      </c>
      <c r="B36" s="5" t="s">
        <v>41</v>
      </c>
      <c r="C36" s="5" t="s">
        <v>193</v>
      </c>
      <c r="D36" s="5" t="s">
        <v>194</v>
      </c>
      <c r="E36" s="5" t="s">
        <v>195</v>
      </c>
      <c r="F36" s="5" t="s">
        <v>196</v>
      </c>
      <c r="G36" s="5" t="s">
        <v>197</v>
      </c>
      <c r="H36" s="6" t="s">
        <v>11</v>
      </c>
      <c r="I36" s="5" t="s">
        <v>198</v>
      </c>
      <c r="J36" s="5" t="s">
        <v>28</v>
      </c>
    </row>
    <row r="37" spans="1:10" s="5" customFormat="1" x14ac:dyDescent="0.25">
      <c r="A37" s="5" t="s">
        <v>199</v>
      </c>
      <c r="B37" s="5" t="s">
        <v>41</v>
      </c>
      <c r="C37" s="5" t="s">
        <v>200</v>
      </c>
      <c r="D37" s="5" t="s">
        <v>194</v>
      </c>
      <c r="E37" s="5" t="s">
        <v>201</v>
      </c>
      <c r="F37" s="5" t="s">
        <v>202</v>
      </c>
      <c r="G37" s="5" t="s">
        <v>203</v>
      </c>
      <c r="H37" s="6" t="s">
        <v>11</v>
      </c>
      <c r="I37" s="5" t="s">
        <v>204</v>
      </c>
      <c r="J37" s="5" t="s">
        <v>28</v>
      </c>
    </row>
    <row r="38" spans="1:10" s="5" customFormat="1" x14ac:dyDescent="0.25">
      <c r="A38" s="5" t="s">
        <v>205</v>
      </c>
      <c r="B38" s="5" t="s">
        <v>41</v>
      </c>
      <c r="C38" s="5" t="s">
        <v>206</v>
      </c>
      <c r="D38" s="5" t="s">
        <v>207</v>
      </c>
      <c r="E38" s="5" t="s">
        <v>208</v>
      </c>
      <c r="F38" s="5" t="s">
        <v>209</v>
      </c>
      <c r="G38" s="5" t="s">
        <v>210</v>
      </c>
      <c r="H38" s="6" t="s">
        <v>11</v>
      </c>
      <c r="I38" s="5" t="s">
        <v>211</v>
      </c>
      <c r="J38" s="5" t="s">
        <v>28</v>
      </c>
    </row>
    <row r="39" spans="1:10" s="5" customFormat="1" x14ac:dyDescent="0.25">
      <c r="A39" s="5" t="s">
        <v>212</v>
      </c>
      <c r="B39" s="5" t="s">
        <v>41</v>
      </c>
      <c r="C39" s="5" t="s">
        <v>213</v>
      </c>
      <c r="D39" s="5" t="s">
        <v>214</v>
      </c>
      <c r="E39" s="5" t="s">
        <v>215</v>
      </c>
      <c r="F39" s="5" t="s">
        <v>216</v>
      </c>
      <c r="G39" s="5" t="s">
        <v>217</v>
      </c>
      <c r="H39" s="6" t="s">
        <v>11</v>
      </c>
      <c r="I39" s="5" t="s">
        <v>218</v>
      </c>
      <c r="J39" s="5" t="s">
        <v>28</v>
      </c>
    </row>
    <row r="40" spans="1:10" s="5" customFormat="1" x14ac:dyDescent="0.25">
      <c r="A40" s="5" t="s">
        <v>219</v>
      </c>
      <c r="B40" s="5" t="s">
        <v>220</v>
      </c>
      <c r="C40" s="5" t="s">
        <v>221</v>
      </c>
      <c r="D40" s="5" t="s">
        <v>222</v>
      </c>
      <c r="E40" s="5" t="s">
        <v>223</v>
      </c>
      <c r="F40" s="5" t="s">
        <v>224</v>
      </c>
      <c r="G40" s="5" t="s">
        <v>28</v>
      </c>
      <c r="H40" s="6" t="s">
        <v>11</v>
      </c>
      <c r="I40" s="5" t="s">
        <v>225</v>
      </c>
      <c r="J40" s="5" t="s">
        <v>226</v>
      </c>
    </row>
    <row r="41" spans="1:10" s="5" customFormat="1" x14ac:dyDescent="0.25">
      <c r="A41" s="5" t="s">
        <v>227</v>
      </c>
      <c r="B41" s="5" t="s">
        <v>220</v>
      </c>
      <c r="C41" s="5" t="s">
        <v>228</v>
      </c>
      <c r="D41" s="5" t="s">
        <v>229</v>
      </c>
      <c r="E41" s="5" t="s">
        <v>230</v>
      </c>
      <c r="F41" s="5" t="s">
        <v>231</v>
      </c>
      <c r="G41" s="5" t="s">
        <v>28</v>
      </c>
      <c r="H41" s="6" t="s">
        <v>11</v>
      </c>
      <c r="I41" s="5" t="s">
        <v>232</v>
      </c>
      <c r="J41" s="5" t="s">
        <v>233</v>
      </c>
    </row>
    <row r="42" spans="1:10" s="5" customFormat="1" x14ac:dyDescent="0.25">
      <c r="A42" s="5" t="s">
        <v>234</v>
      </c>
      <c r="B42" s="5" t="s">
        <v>220</v>
      </c>
      <c r="C42" s="5" t="s">
        <v>235</v>
      </c>
      <c r="D42" s="5" t="s">
        <v>236</v>
      </c>
      <c r="E42" s="5" t="s">
        <v>237</v>
      </c>
      <c r="F42" s="5" t="s">
        <v>238</v>
      </c>
      <c r="G42" s="5" t="s">
        <v>28</v>
      </c>
      <c r="H42" s="6" t="s">
        <v>11</v>
      </c>
      <c r="I42" s="5" t="s">
        <v>239</v>
      </c>
      <c r="J42" s="5" t="s">
        <v>240</v>
      </c>
    </row>
    <row r="43" spans="1:10" s="5" customFormat="1" x14ac:dyDescent="0.25">
      <c r="A43" s="5" t="s">
        <v>241</v>
      </c>
      <c r="B43" s="5" t="s">
        <v>220</v>
      </c>
      <c r="C43" s="5" t="s">
        <v>242</v>
      </c>
      <c r="D43" s="5" t="s">
        <v>243</v>
      </c>
      <c r="E43" s="5" t="s">
        <v>244</v>
      </c>
      <c r="F43" s="5" t="s">
        <v>245</v>
      </c>
      <c r="G43" s="5" t="s">
        <v>28</v>
      </c>
      <c r="H43" s="6" t="s">
        <v>11</v>
      </c>
      <c r="I43" s="5" t="s">
        <v>246</v>
      </c>
      <c r="J43" s="5" t="s">
        <v>247</v>
      </c>
    </row>
    <row r="44" spans="1:10" s="5" customFormat="1" x14ac:dyDescent="0.25">
      <c r="A44" s="5" t="s">
        <v>248</v>
      </c>
      <c r="B44" s="5" t="s">
        <v>220</v>
      </c>
      <c r="C44" s="5" t="s">
        <v>249</v>
      </c>
      <c r="D44" s="5" t="s">
        <v>250</v>
      </c>
      <c r="E44" s="5" t="s">
        <v>251</v>
      </c>
      <c r="F44" s="5" t="s">
        <v>252</v>
      </c>
      <c r="G44" s="5" t="s">
        <v>28</v>
      </c>
      <c r="H44" s="7" t="s">
        <v>13</v>
      </c>
      <c r="I44" s="5" t="s">
        <v>253</v>
      </c>
      <c r="J44" s="5" t="s">
        <v>254</v>
      </c>
    </row>
  </sheetData>
  <autoFilter ref="A4:J44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3" max="3" width="34" customWidth="1"/>
    <col min="4" max="4" width="30" customWidth="1"/>
    <col min="5" max="5" width="44" customWidth="1"/>
    <col min="6" max="7" width="38" customWidth="1"/>
    <col min="8" max="8" width="14" customWidth="1"/>
    <col min="9" max="9" width="34" customWidth="1"/>
    <col min="10" max="10" width="32" customWidth="1"/>
  </cols>
  <sheetData>
    <row r="1" ht="28" customHeight="1" spans="1:10" x14ac:dyDescent="0.25">
      <c r="A1" s="1" t="s">
        <v>255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t="s">
        <v>2</v>
      </c>
      <c r="D2" s="2" t="s">
        <v>8</v>
      </c>
      <c r="E2">
        <v>40</v>
      </c>
      <c r="G2" s="2" t="s">
        <v>9</v>
      </c>
      <c r="H2">
        <f>COUNTIF(B5:B44,"AI")</f>
      </c>
      <c r="I2" s="2" t="s">
        <v>10</v>
      </c>
      <c r="J2">
        <f>COUNTIF(B5:B44,"Student")</f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s="5" customFormat="1" x14ac:dyDescent="0.25">
      <c r="A5" s="5" t="s">
        <v>256</v>
      </c>
      <c r="B5" s="5" t="s">
        <v>41</v>
      </c>
      <c r="C5" s="5" t="s">
        <v>257</v>
      </c>
      <c r="D5" s="5" t="s">
        <v>258</v>
      </c>
      <c r="E5" s="5" t="s">
        <v>259</v>
      </c>
      <c r="F5" s="5" t="s">
        <v>260</v>
      </c>
      <c r="G5" s="5" t="s">
        <v>261</v>
      </c>
      <c r="H5" s="6" t="s">
        <v>11</v>
      </c>
      <c r="I5" s="5" t="s">
        <v>262</v>
      </c>
      <c r="J5" s="5" t="s">
        <v>28</v>
      </c>
    </row>
    <row r="6" spans="1:10" s="5" customFormat="1" x14ac:dyDescent="0.25">
      <c r="A6" s="5" t="s">
        <v>263</v>
      </c>
      <c r="B6" s="5" t="s">
        <v>41</v>
      </c>
      <c r="C6" s="5" t="s">
        <v>264</v>
      </c>
      <c r="D6" s="5" t="s">
        <v>265</v>
      </c>
      <c r="E6" s="5" t="s">
        <v>266</v>
      </c>
      <c r="F6" s="5" t="s">
        <v>267</v>
      </c>
      <c r="G6" s="5" t="s">
        <v>268</v>
      </c>
      <c r="H6" s="7" t="s">
        <v>13</v>
      </c>
      <c r="I6" s="5" t="s">
        <v>269</v>
      </c>
      <c r="J6" s="5" t="s">
        <v>28</v>
      </c>
    </row>
    <row r="7" spans="1:10" s="5" customFormat="1" x14ac:dyDescent="0.25">
      <c r="A7" s="5" t="s">
        <v>270</v>
      </c>
      <c r="B7" s="5" t="s">
        <v>41</v>
      </c>
      <c r="C7" s="5" t="s">
        <v>271</v>
      </c>
      <c r="D7" s="5" t="s">
        <v>272</v>
      </c>
      <c r="E7" s="5" t="s">
        <v>273</v>
      </c>
      <c r="F7" s="5" t="s">
        <v>274</v>
      </c>
      <c r="G7" s="5" t="s">
        <v>275</v>
      </c>
      <c r="H7" s="8" t="s">
        <v>12</v>
      </c>
      <c r="I7" s="5" t="s">
        <v>276</v>
      </c>
      <c r="J7" s="5" t="s">
        <v>28</v>
      </c>
    </row>
    <row r="8" spans="1:10" s="5" customFormat="1" x14ac:dyDescent="0.25">
      <c r="A8" s="5" t="s">
        <v>277</v>
      </c>
      <c r="B8" s="5" t="s">
        <v>41</v>
      </c>
      <c r="C8" s="5" t="s">
        <v>278</v>
      </c>
      <c r="D8" s="5" t="s">
        <v>272</v>
      </c>
      <c r="E8" s="5" t="s">
        <v>279</v>
      </c>
      <c r="F8" s="5" t="s">
        <v>274</v>
      </c>
      <c r="G8" s="5" t="s">
        <v>280</v>
      </c>
      <c r="H8" s="8" t="s">
        <v>12</v>
      </c>
      <c r="I8" s="5" t="s">
        <v>281</v>
      </c>
      <c r="J8" s="5" t="s">
        <v>28</v>
      </c>
    </row>
    <row r="9" spans="1:10" s="5" customFormat="1" x14ac:dyDescent="0.25">
      <c r="A9" s="5" t="s">
        <v>282</v>
      </c>
      <c r="B9" s="5" t="s">
        <v>41</v>
      </c>
      <c r="C9" s="5" t="s">
        <v>283</v>
      </c>
      <c r="D9" s="5" t="s">
        <v>265</v>
      </c>
      <c r="E9" s="5" t="s">
        <v>284</v>
      </c>
      <c r="F9" s="5" t="s">
        <v>285</v>
      </c>
      <c r="G9" s="5" t="s">
        <v>286</v>
      </c>
      <c r="H9" s="7" t="s">
        <v>13</v>
      </c>
      <c r="I9" s="5" t="s">
        <v>287</v>
      </c>
      <c r="J9" s="5" t="s">
        <v>28</v>
      </c>
    </row>
    <row r="10" spans="1:10" s="5" customFormat="1" x14ac:dyDescent="0.25">
      <c r="A10" s="5" t="s">
        <v>288</v>
      </c>
      <c r="B10" s="5" t="s">
        <v>41</v>
      </c>
      <c r="C10" s="5" t="s">
        <v>289</v>
      </c>
      <c r="D10" s="5" t="s">
        <v>265</v>
      </c>
      <c r="E10" s="5" t="s">
        <v>290</v>
      </c>
      <c r="F10" s="5" t="s">
        <v>291</v>
      </c>
      <c r="G10" s="5" t="s">
        <v>292</v>
      </c>
      <c r="H10" s="7" t="s">
        <v>13</v>
      </c>
      <c r="I10" s="5" t="s">
        <v>293</v>
      </c>
      <c r="J10" s="5" t="s">
        <v>28</v>
      </c>
    </row>
    <row r="11" spans="1:10" s="5" customFormat="1" x14ac:dyDescent="0.25">
      <c r="A11" s="5" t="s">
        <v>294</v>
      </c>
      <c r="B11" s="5" t="s">
        <v>41</v>
      </c>
      <c r="C11" s="5" t="s">
        <v>295</v>
      </c>
      <c r="D11" s="5" t="s">
        <v>272</v>
      </c>
      <c r="E11" s="5" t="s">
        <v>296</v>
      </c>
      <c r="F11" s="5" t="s">
        <v>274</v>
      </c>
      <c r="G11" s="5" t="s">
        <v>297</v>
      </c>
      <c r="H11" s="8" t="s">
        <v>12</v>
      </c>
      <c r="I11" s="5" t="s">
        <v>298</v>
      </c>
      <c r="J11" s="5" t="s">
        <v>28</v>
      </c>
    </row>
    <row r="12" spans="1:10" s="5" customFormat="1" x14ac:dyDescent="0.25">
      <c r="A12" s="5" t="s">
        <v>299</v>
      </c>
      <c r="B12" s="5" t="s">
        <v>41</v>
      </c>
      <c r="C12" s="5" t="s">
        <v>300</v>
      </c>
      <c r="D12" s="5" t="s">
        <v>272</v>
      </c>
      <c r="E12" s="5" t="s">
        <v>301</v>
      </c>
      <c r="F12" s="5" t="s">
        <v>274</v>
      </c>
      <c r="G12" s="5" t="s">
        <v>302</v>
      </c>
      <c r="H12" s="8" t="s">
        <v>12</v>
      </c>
      <c r="I12" s="5" t="s">
        <v>303</v>
      </c>
      <c r="J12" s="5" t="s">
        <v>28</v>
      </c>
    </row>
    <row r="13" spans="1:10" s="5" customFormat="1" x14ac:dyDescent="0.25">
      <c r="A13" s="5" t="s">
        <v>304</v>
      </c>
      <c r="B13" s="5" t="s">
        <v>41</v>
      </c>
      <c r="C13" s="5" t="s">
        <v>305</v>
      </c>
      <c r="D13" s="5" t="s">
        <v>272</v>
      </c>
      <c r="E13" s="5" t="s">
        <v>306</v>
      </c>
      <c r="F13" s="5" t="s">
        <v>274</v>
      </c>
      <c r="G13" s="5" t="s">
        <v>307</v>
      </c>
      <c r="H13" s="8" t="s">
        <v>12</v>
      </c>
      <c r="I13" s="5" t="s">
        <v>308</v>
      </c>
      <c r="J13" s="5" t="s">
        <v>28</v>
      </c>
    </row>
    <row r="14" spans="1:10" s="5" customFormat="1" x14ac:dyDescent="0.25">
      <c r="A14" s="5" t="s">
        <v>309</v>
      </c>
      <c r="B14" s="5" t="s">
        <v>41</v>
      </c>
      <c r="C14" s="5" t="s">
        <v>310</v>
      </c>
      <c r="D14" s="5" t="s">
        <v>272</v>
      </c>
      <c r="E14" s="5" t="s">
        <v>311</v>
      </c>
      <c r="F14" s="5" t="s">
        <v>274</v>
      </c>
      <c r="G14" s="5" t="s">
        <v>312</v>
      </c>
      <c r="H14" s="8" t="s">
        <v>12</v>
      </c>
      <c r="I14" s="5" t="s">
        <v>313</v>
      </c>
      <c r="J14" s="5" t="s">
        <v>28</v>
      </c>
    </row>
    <row r="15" spans="1:10" s="5" customFormat="1" x14ac:dyDescent="0.25">
      <c r="A15" s="5" t="s">
        <v>314</v>
      </c>
      <c r="B15" s="5" t="s">
        <v>41</v>
      </c>
      <c r="C15" s="5" t="s">
        <v>315</v>
      </c>
      <c r="D15" s="5" t="s">
        <v>265</v>
      </c>
      <c r="E15" s="5" t="s">
        <v>316</v>
      </c>
      <c r="F15" s="5" t="s">
        <v>274</v>
      </c>
      <c r="G15" s="5" t="s">
        <v>312</v>
      </c>
      <c r="H15" s="6" t="s">
        <v>11</v>
      </c>
      <c r="I15" s="5" t="s">
        <v>72</v>
      </c>
      <c r="J15" s="5" t="s">
        <v>28</v>
      </c>
    </row>
    <row r="16" spans="1:10" s="5" customFormat="1" x14ac:dyDescent="0.25">
      <c r="A16" s="5" t="s">
        <v>317</v>
      </c>
      <c r="B16" s="5" t="s">
        <v>41</v>
      </c>
      <c r="C16" s="5" t="s">
        <v>318</v>
      </c>
      <c r="D16" s="5" t="s">
        <v>265</v>
      </c>
      <c r="E16" s="5" t="s">
        <v>319</v>
      </c>
      <c r="F16" s="5" t="s">
        <v>274</v>
      </c>
      <c r="G16" s="5" t="s">
        <v>320</v>
      </c>
      <c r="H16" s="7" t="s">
        <v>13</v>
      </c>
      <c r="I16" s="5" t="s">
        <v>321</v>
      </c>
      <c r="J16" s="5" t="s">
        <v>28</v>
      </c>
    </row>
    <row r="17" spans="1:10" s="5" customFormat="1" x14ac:dyDescent="0.25">
      <c r="A17" s="5" t="s">
        <v>322</v>
      </c>
      <c r="B17" s="5" t="s">
        <v>41</v>
      </c>
      <c r="C17" s="5" t="s">
        <v>323</v>
      </c>
      <c r="D17" s="5" t="s">
        <v>265</v>
      </c>
      <c r="E17" s="5" t="s">
        <v>324</v>
      </c>
      <c r="F17" s="5" t="s">
        <v>274</v>
      </c>
      <c r="G17" s="5" t="s">
        <v>325</v>
      </c>
      <c r="H17" s="7" t="s">
        <v>13</v>
      </c>
      <c r="I17" s="5" t="s">
        <v>326</v>
      </c>
      <c r="J17" s="5" t="s">
        <v>28</v>
      </c>
    </row>
    <row r="18" spans="1:10" s="5" customFormat="1" x14ac:dyDescent="0.25">
      <c r="A18" s="5" t="s">
        <v>327</v>
      </c>
      <c r="B18" s="5" t="s">
        <v>41</v>
      </c>
      <c r="C18" s="5" t="s">
        <v>328</v>
      </c>
      <c r="D18" s="5" t="s">
        <v>265</v>
      </c>
      <c r="E18" s="5" t="s">
        <v>329</v>
      </c>
      <c r="F18" s="5" t="s">
        <v>330</v>
      </c>
      <c r="G18" s="5" t="s">
        <v>331</v>
      </c>
      <c r="H18" s="7" t="s">
        <v>13</v>
      </c>
      <c r="I18" s="5" t="s">
        <v>332</v>
      </c>
      <c r="J18" s="5" t="s">
        <v>28</v>
      </c>
    </row>
    <row r="19" spans="1:10" s="5" customFormat="1" x14ac:dyDescent="0.25">
      <c r="A19" s="5" t="s">
        <v>333</v>
      </c>
      <c r="B19" s="5" t="s">
        <v>41</v>
      </c>
      <c r="C19" s="5" t="s">
        <v>334</v>
      </c>
      <c r="D19" s="5" t="s">
        <v>265</v>
      </c>
      <c r="E19" s="5" t="s">
        <v>335</v>
      </c>
      <c r="F19" s="5" t="s">
        <v>110</v>
      </c>
      <c r="G19" s="5" t="s">
        <v>336</v>
      </c>
      <c r="H19" s="7" t="s">
        <v>13</v>
      </c>
      <c r="I19" s="5" t="s">
        <v>337</v>
      </c>
      <c r="J19" s="5" t="s">
        <v>28</v>
      </c>
    </row>
    <row r="20" spans="1:10" s="5" customFormat="1" x14ac:dyDescent="0.25">
      <c r="A20" s="5" t="s">
        <v>338</v>
      </c>
      <c r="B20" s="5" t="s">
        <v>41</v>
      </c>
      <c r="C20" s="5" t="s">
        <v>339</v>
      </c>
      <c r="D20" s="5" t="s">
        <v>265</v>
      </c>
      <c r="E20" s="5" t="s">
        <v>340</v>
      </c>
      <c r="F20" s="5" t="s">
        <v>341</v>
      </c>
      <c r="G20" s="5" t="s">
        <v>342</v>
      </c>
      <c r="H20" s="6" t="s">
        <v>11</v>
      </c>
      <c r="I20" s="5" t="s">
        <v>343</v>
      </c>
      <c r="J20" s="5" t="s">
        <v>28</v>
      </c>
    </row>
    <row r="21" spans="1:10" s="5" customFormat="1" x14ac:dyDescent="0.25">
      <c r="A21" s="5" t="s">
        <v>344</v>
      </c>
      <c r="B21" s="5" t="s">
        <v>41</v>
      </c>
      <c r="C21" s="5" t="s">
        <v>345</v>
      </c>
      <c r="D21" s="5" t="s">
        <v>265</v>
      </c>
      <c r="E21" s="5" t="s">
        <v>346</v>
      </c>
      <c r="F21" s="5" t="s">
        <v>347</v>
      </c>
      <c r="G21" s="5" t="s">
        <v>348</v>
      </c>
      <c r="H21" s="7" t="s">
        <v>13</v>
      </c>
      <c r="I21" s="5" t="s">
        <v>349</v>
      </c>
      <c r="J21" s="5" t="s">
        <v>28</v>
      </c>
    </row>
    <row r="22" spans="1:10" s="5" customFormat="1" x14ac:dyDescent="0.25">
      <c r="A22" s="5" t="s">
        <v>350</v>
      </c>
      <c r="B22" s="5" t="s">
        <v>41</v>
      </c>
      <c r="C22" s="5" t="s">
        <v>351</v>
      </c>
      <c r="D22" s="5" t="s">
        <v>265</v>
      </c>
      <c r="E22" s="5" t="s">
        <v>352</v>
      </c>
      <c r="F22" s="5" t="s">
        <v>353</v>
      </c>
      <c r="G22" s="5" t="s">
        <v>354</v>
      </c>
      <c r="H22" s="6" t="s">
        <v>11</v>
      </c>
      <c r="I22" s="5" t="s">
        <v>355</v>
      </c>
      <c r="J22" s="5" t="s">
        <v>28</v>
      </c>
    </row>
    <row r="23" spans="1:10" s="5" customFormat="1" x14ac:dyDescent="0.25">
      <c r="A23" s="5" t="s">
        <v>356</v>
      </c>
      <c r="B23" s="5" t="s">
        <v>41</v>
      </c>
      <c r="C23" s="5" t="s">
        <v>357</v>
      </c>
      <c r="D23" s="5" t="s">
        <v>265</v>
      </c>
      <c r="E23" s="5" t="s">
        <v>358</v>
      </c>
      <c r="F23" s="5" t="s">
        <v>359</v>
      </c>
      <c r="G23" s="5" t="s">
        <v>360</v>
      </c>
      <c r="H23" s="7" t="s">
        <v>13</v>
      </c>
      <c r="I23" s="5" t="s">
        <v>361</v>
      </c>
      <c r="J23" s="5" t="s">
        <v>28</v>
      </c>
    </row>
    <row r="24" spans="1:10" s="5" customFormat="1" x14ac:dyDescent="0.25">
      <c r="A24" s="5" t="s">
        <v>362</v>
      </c>
      <c r="B24" s="5" t="s">
        <v>41</v>
      </c>
      <c r="C24" s="5" t="s">
        <v>363</v>
      </c>
      <c r="D24" s="5" t="s">
        <v>265</v>
      </c>
      <c r="E24" s="5" t="s">
        <v>364</v>
      </c>
      <c r="F24" s="5" t="s">
        <v>365</v>
      </c>
      <c r="G24" s="5" t="s">
        <v>366</v>
      </c>
      <c r="H24" s="6" t="s">
        <v>11</v>
      </c>
      <c r="I24" s="5" t="s">
        <v>367</v>
      </c>
      <c r="J24" s="5" t="s">
        <v>28</v>
      </c>
    </row>
    <row r="25" spans="1:10" s="5" customFormat="1" x14ac:dyDescent="0.25">
      <c r="A25" s="5" t="s">
        <v>368</v>
      </c>
      <c r="B25" s="5" t="s">
        <v>41</v>
      </c>
      <c r="C25" s="5" t="s">
        <v>369</v>
      </c>
      <c r="D25" s="5" t="s">
        <v>370</v>
      </c>
      <c r="E25" s="5" t="s">
        <v>371</v>
      </c>
      <c r="F25" s="5" t="s">
        <v>372</v>
      </c>
      <c r="G25" s="5" t="s">
        <v>373</v>
      </c>
      <c r="H25" s="6" t="s">
        <v>11</v>
      </c>
      <c r="I25" s="5" t="s">
        <v>374</v>
      </c>
      <c r="J25" s="5" t="s">
        <v>28</v>
      </c>
    </row>
    <row r="26" spans="1:10" s="5" customFormat="1" x14ac:dyDescent="0.25">
      <c r="A26" s="5" t="s">
        <v>375</v>
      </c>
      <c r="B26" s="5" t="s">
        <v>41</v>
      </c>
      <c r="C26" s="5" t="s">
        <v>376</v>
      </c>
      <c r="D26" s="5" t="s">
        <v>377</v>
      </c>
      <c r="E26" s="5" t="s">
        <v>371</v>
      </c>
      <c r="F26" s="5" t="s">
        <v>378</v>
      </c>
      <c r="G26" s="5" t="s">
        <v>379</v>
      </c>
      <c r="H26" s="6" t="s">
        <v>11</v>
      </c>
      <c r="I26" s="5" t="s">
        <v>380</v>
      </c>
      <c r="J26" s="5" t="s">
        <v>28</v>
      </c>
    </row>
    <row r="27" spans="1:10" s="5" customFormat="1" x14ac:dyDescent="0.25">
      <c r="A27" s="5" t="s">
        <v>381</v>
      </c>
      <c r="B27" s="5" t="s">
        <v>41</v>
      </c>
      <c r="C27" s="5" t="s">
        <v>382</v>
      </c>
      <c r="D27" s="5" t="s">
        <v>383</v>
      </c>
      <c r="E27" s="5" t="s">
        <v>371</v>
      </c>
      <c r="F27" s="5" t="s">
        <v>378</v>
      </c>
      <c r="G27" s="5" t="s">
        <v>95</v>
      </c>
      <c r="H27" s="6" t="s">
        <v>11</v>
      </c>
      <c r="I27" s="5" t="s">
        <v>380</v>
      </c>
      <c r="J27" s="5" t="s">
        <v>28</v>
      </c>
    </row>
    <row r="28" spans="1:10" s="5" customFormat="1" x14ac:dyDescent="0.25">
      <c r="A28" s="5" t="s">
        <v>384</v>
      </c>
      <c r="B28" s="5" t="s">
        <v>41</v>
      </c>
      <c r="C28" s="5" t="s">
        <v>385</v>
      </c>
      <c r="D28" s="5" t="s">
        <v>386</v>
      </c>
      <c r="E28" s="5" t="s">
        <v>371</v>
      </c>
      <c r="F28" s="5" t="s">
        <v>387</v>
      </c>
      <c r="G28" s="5" t="s">
        <v>388</v>
      </c>
      <c r="H28" s="6" t="s">
        <v>11</v>
      </c>
      <c r="I28" s="5" t="s">
        <v>389</v>
      </c>
      <c r="J28" s="5" t="s">
        <v>28</v>
      </c>
    </row>
    <row r="29" spans="1:10" s="5" customFormat="1" x14ac:dyDescent="0.25">
      <c r="A29" s="5" t="s">
        <v>390</v>
      </c>
      <c r="B29" s="5" t="s">
        <v>41</v>
      </c>
      <c r="C29" s="5" t="s">
        <v>391</v>
      </c>
      <c r="D29" s="5" t="s">
        <v>392</v>
      </c>
      <c r="E29" s="5" t="s">
        <v>393</v>
      </c>
      <c r="F29" s="5" t="s">
        <v>394</v>
      </c>
      <c r="G29" s="5" t="s">
        <v>395</v>
      </c>
      <c r="H29" s="6" t="s">
        <v>11</v>
      </c>
      <c r="I29" s="5" t="s">
        <v>396</v>
      </c>
      <c r="J29" s="5" t="s">
        <v>28</v>
      </c>
    </row>
    <row r="30" spans="1:10" s="5" customFormat="1" x14ac:dyDescent="0.25">
      <c r="A30" s="5" t="s">
        <v>397</v>
      </c>
      <c r="B30" s="5" t="s">
        <v>41</v>
      </c>
      <c r="C30" s="5" t="s">
        <v>398</v>
      </c>
      <c r="D30" s="5" t="s">
        <v>399</v>
      </c>
      <c r="E30" s="5" t="s">
        <v>400</v>
      </c>
      <c r="F30" s="5" t="s">
        <v>401</v>
      </c>
      <c r="G30" s="5" t="s">
        <v>402</v>
      </c>
      <c r="H30" s="6" t="s">
        <v>11</v>
      </c>
      <c r="I30" s="5" t="s">
        <v>403</v>
      </c>
      <c r="J30" s="5" t="s">
        <v>28</v>
      </c>
    </row>
    <row r="31" spans="1:10" s="5" customFormat="1" x14ac:dyDescent="0.25">
      <c r="A31" s="5" t="s">
        <v>404</v>
      </c>
      <c r="B31" s="5" t="s">
        <v>41</v>
      </c>
      <c r="C31" s="5" t="s">
        <v>405</v>
      </c>
      <c r="D31" s="5" t="s">
        <v>399</v>
      </c>
      <c r="E31" s="5" t="s">
        <v>406</v>
      </c>
      <c r="F31" s="5" t="s">
        <v>401</v>
      </c>
      <c r="G31" s="5" t="s">
        <v>402</v>
      </c>
      <c r="H31" s="6" t="s">
        <v>11</v>
      </c>
      <c r="I31" s="5" t="s">
        <v>407</v>
      </c>
      <c r="J31" s="5" t="s">
        <v>28</v>
      </c>
    </row>
    <row r="32" spans="1:10" s="5" customFormat="1" x14ac:dyDescent="0.25">
      <c r="A32" s="5" t="s">
        <v>408</v>
      </c>
      <c r="B32" s="5" t="s">
        <v>41</v>
      </c>
      <c r="C32" s="5" t="s">
        <v>409</v>
      </c>
      <c r="D32" s="5" t="s">
        <v>410</v>
      </c>
      <c r="E32" s="5" t="s">
        <v>411</v>
      </c>
      <c r="F32" s="5" t="s">
        <v>274</v>
      </c>
      <c r="G32" s="5" t="s">
        <v>412</v>
      </c>
      <c r="H32" s="6" t="s">
        <v>11</v>
      </c>
      <c r="I32" s="5" t="s">
        <v>413</v>
      </c>
      <c r="J32" s="5" t="s">
        <v>28</v>
      </c>
    </row>
    <row r="33" spans="1:10" s="5" customFormat="1" x14ac:dyDescent="0.25">
      <c r="A33" s="5" t="s">
        <v>414</v>
      </c>
      <c r="B33" s="5" t="s">
        <v>41</v>
      </c>
      <c r="C33" s="5" t="s">
        <v>415</v>
      </c>
      <c r="D33" s="5" t="s">
        <v>416</v>
      </c>
      <c r="E33" s="5" t="s">
        <v>371</v>
      </c>
      <c r="F33" s="5" t="s">
        <v>417</v>
      </c>
      <c r="G33" s="5" t="s">
        <v>418</v>
      </c>
      <c r="H33" s="6" t="s">
        <v>11</v>
      </c>
      <c r="I33" s="5" t="s">
        <v>419</v>
      </c>
      <c r="J33" s="5" t="s">
        <v>28</v>
      </c>
    </row>
    <row r="34" spans="1:10" s="5" customFormat="1" x14ac:dyDescent="0.25">
      <c r="A34" s="5" t="s">
        <v>420</v>
      </c>
      <c r="B34" s="5" t="s">
        <v>41</v>
      </c>
      <c r="C34" s="5" t="s">
        <v>421</v>
      </c>
      <c r="D34" s="5" t="s">
        <v>422</v>
      </c>
      <c r="E34" s="5" t="s">
        <v>423</v>
      </c>
      <c r="F34" s="5" t="s">
        <v>424</v>
      </c>
      <c r="G34" s="5" t="s">
        <v>425</v>
      </c>
      <c r="H34" s="6" t="s">
        <v>11</v>
      </c>
      <c r="I34" s="5" t="s">
        <v>426</v>
      </c>
      <c r="J34" s="5" t="s">
        <v>28</v>
      </c>
    </row>
    <row r="35" spans="1:10" s="5" customFormat="1" x14ac:dyDescent="0.25">
      <c r="A35" s="5" t="s">
        <v>427</v>
      </c>
      <c r="B35" s="5" t="s">
        <v>41</v>
      </c>
      <c r="C35" s="5" t="s">
        <v>428</v>
      </c>
      <c r="D35" s="5" t="s">
        <v>416</v>
      </c>
      <c r="E35" s="5" t="s">
        <v>429</v>
      </c>
      <c r="F35" s="5" t="s">
        <v>430</v>
      </c>
      <c r="G35" s="5" t="s">
        <v>431</v>
      </c>
      <c r="H35" s="7" t="s">
        <v>13</v>
      </c>
      <c r="I35" s="5" t="s">
        <v>432</v>
      </c>
      <c r="J35" s="5" t="s">
        <v>28</v>
      </c>
    </row>
    <row r="36" spans="1:10" s="5" customFormat="1" x14ac:dyDescent="0.25">
      <c r="A36" s="5" t="s">
        <v>433</v>
      </c>
      <c r="B36" s="5" t="s">
        <v>41</v>
      </c>
      <c r="C36" s="5" t="s">
        <v>434</v>
      </c>
      <c r="D36" s="5" t="s">
        <v>416</v>
      </c>
      <c r="E36" s="5" t="s">
        <v>435</v>
      </c>
      <c r="F36" s="5" t="s">
        <v>436</v>
      </c>
      <c r="G36" s="5" t="s">
        <v>437</v>
      </c>
      <c r="H36" s="6" t="s">
        <v>11</v>
      </c>
      <c r="I36" s="5" t="s">
        <v>438</v>
      </c>
      <c r="J36" s="5" t="s">
        <v>28</v>
      </c>
    </row>
    <row r="37" spans="1:10" s="5" customFormat="1" x14ac:dyDescent="0.25">
      <c r="A37" s="5" t="s">
        <v>439</v>
      </c>
      <c r="B37" s="5" t="s">
        <v>41</v>
      </c>
      <c r="C37" s="5" t="s">
        <v>440</v>
      </c>
      <c r="D37" s="5" t="s">
        <v>265</v>
      </c>
      <c r="E37" s="5" t="s">
        <v>441</v>
      </c>
      <c r="F37" s="5" t="s">
        <v>442</v>
      </c>
      <c r="G37" s="5" t="s">
        <v>443</v>
      </c>
      <c r="H37" s="7" t="s">
        <v>13</v>
      </c>
      <c r="I37" s="5" t="s">
        <v>444</v>
      </c>
      <c r="J37" s="5" t="s">
        <v>28</v>
      </c>
    </row>
    <row r="38" spans="1:10" s="5" customFormat="1" x14ac:dyDescent="0.25">
      <c r="A38" s="5" t="s">
        <v>445</v>
      </c>
      <c r="B38" s="5" t="s">
        <v>41</v>
      </c>
      <c r="C38" s="5" t="s">
        <v>446</v>
      </c>
      <c r="D38" s="5" t="s">
        <v>265</v>
      </c>
      <c r="E38" s="5" t="s">
        <v>447</v>
      </c>
      <c r="F38" s="5" t="s">
        <v>448</v>
      </c>
      <c r="G38" s="5" t="s">
        <v>449</v>
      </c>
      <c r="H38" s="6" t="s">
        <v>11</v>
      </c>
      <c r="I38" s="5" t="s">
        <v>450</v>
      </c>
      <c r="J38" s="5" t="s">
        <v>28</v>
      </c>
    </row>
    <row r="39" spans="1:10" s="5" customFormat="1" x14ac:dyDescent="0.25">
      <c r="A39" s="5" t="s">
        <v>451</v>
      </c>
      <c r="B39" s="5" t="s">
        <v>41</v>
      </c>
      <c r="C39" s="5" t="s">
        <v>452</v>
      </c>
      <c r="D39" s="5" t="s">
        <v>453</v>
      </c>
      <c r="E39" s="5" t="s">
        <v>371</v>
      </c>
      <c r="F39" s="5" t="s">
        <v>454</v>
      </c>
      <c r="G39" s="5" t="s">
        <v>455</v>
      </c>
      <c r="H39" s="7" t="s">
        <v>13</v>
      </c>
      <c r="I39" s="5" t="s">
        <v>456</v>
      </c>
      <c r="J39" s="5" t="s">
        <v>28</v>
      </c>
    </row>
    <row r="40" spans="1:10" s="5" customFormat="1" x14ac:dyDescent="0.25">
      <c r="A40" s="5" t="s">
        <v>457</v>
      </c>
      <c r="B40" s="5" t="s">
        <v>220</v>
      </c>
      <c r="C40" s="5" t="s">
        <v>458</v>
      </c>
      <c r="D40" s="5" t="s">
        <v>459</v>
      </c>
      <c r="E40" s="5" t="s">
        <v>460</v>
      </c>
      <c r="F40" s="5" t="s">
        <v>461</v>
      </c>
      <c r="G40" s="5" t="s">
        <v>28</v>
      </c>
      <c r="H40" s="6" t="s">
        <v>11</v>
      </c>
      <c r="I40" s="5" t="s">
        <v>462</v>
      </c>
      <c r="J40" s="5" t="s">
        <v>463</v>
      </c>
    </row>
    <row r="41" spans="1:10" s="5" customFormat="1" x14ac:dyDescent="0.25">
      <c r="A41" s="5" t="s">
        <v>464</v>
      </c>
      <c r="B41" s="5" t="s">
        <v>220</v>
      </c>
      <c r="C41" s="5" t="s">
        <v>465</v>
      </c>
      <c r="D41" s="5" t="s">
        <v>466</v>
      </c>
      <c r="E41" s="5" t="s">
        <v>467</v>
      </c>
      <c r="F41" s="5" t="s">
        <v>468</v>
      </c>
      <c r="G41" s="5" t="s">
        <v>28</v>
      </c>
      <c r="H41" s="6" t="s">
        <v>11</v>
      </c>
      <c r="I41" s="5" t="s">
        <v>469</v>
      </c>
      <c r="J41" s="5" t="s">
        <v>470</v>
      </c>
    </row>
    <row r="42" spans="1:10" s="5" customFormat="1" x14ac:dyDescent="0.25">
      <c r="A42" s="5" t="s">
        <v>471</v>
      </c>
      <c r="B42" s="5" t="s">
        <v>220</v>
      </c>
      <c r="C42" s="5" t="s">
        <v>472</v>
      </c>
      <c r="D42" s="5" t="s">
        <v>473</v>
      </c>
      <c r="E42" s="5" t="s">
        <v>474</v>
      </c>
      <c r="F42" s="5" t="s">
        <v>475</v>
      </c>
      <c r="G42" s="5" t="s">
        <v>28</v>
      </c>
      <c r="H42" s="6" t="s">
        <v>11</v>
      </c>
      <c r="I42" s="5" t="s">
        <v>476</v>
      </c>
      <c r="J42" s="5" t="s">
        <v>477</v>
      </c>
    </row>
    <row r="43" spans="1:10" s="5" customFormat="1" x14ac:dyDescent="0.25">
      <c r="A43" s="5" t="s">
        <v>478</v>
      </c>
      <c r="B43" s="5" t="s">
        <v>220</v>
      </c>
      <c r="C43" s="5" t="s">
        <v>479</v>
      </c>
      <c r="D43" s="5" t="s">
        <v>480</v>
      </c>
      <c r="E43" s="5" t="s">
        <v>481</v>
      </c>
      <c r="F43" s="5" t="s">
        <v>482</v>
      </c>
      <c r="G43" s="5" t="s">
        <v>28</v>
      </c>
      <c r="H43" s="6" t="s">
        <v>11</v>
      </c>
      <c r="I43" s="5" t="s">
        <v>483</v>
      </c>
      <c r="J43" s="5" t="s">
        <v>484</v>
      </c>
    </row>
    <row r="44" spans="1:10" s="5" customFormat="1" x14ac:dyDescent="0.25">
      <c r="A44" s="5" t="s">
        <v>485</v>
      </c>
      <c r="B44" s="5" t="s">
        <v>220</v>
      </c>
      <c r="C44" s="5" t="s">
        <v>486</v>
      </c>
      <c r="D44" s="5" t="s">
        <v>459</v>
      </c>
      <c r="E44" s="5" t="s">
        <v>487</v>
      </c>
      <c r="F44" s="5" t="s">
        <v>488</v>
      </c>
      <c r="G44" s="5" t="s">
        <v>28</v>
      </c>
      <c r="H44" s="7" t="s">
        <v>13</v>
      </c>
      <c r="I44" s="5" t="s">
        <v>489</v>
      </c>
      <c r="J44" s="5" t="s">
        <v>490</v>
      </c>
    </row>
  </sheetData>
  <autoFilter ref="A4:J44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3" max="3" width="34" customWidth="1"/>
    <col min="4" max="4" width="30" customWidth="1"/>
    <col min="5" max="5" width="44" customWidth="1"/>
    <col min="6" max="7" width="38" customWidth="1"/>
    <col min="8" max="8" width="14" customWidth="1"/>
    <col min="9" max="9" width="34" customWidth="1"/>
    <col min="10" max="10" width="32" customWidth="1"/>
  </cols>
  <sheetData>
    <row r="1" ht="28" customHeight="1" spans="1:10" x14ac:dyDescent="0.25">
      <c r="A1" s="1" t="s">
        <v>491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t="s">
        <v>2</v>
      </c>
      <c r="D2" s="2" t="s">
        <v>8</v>
      </c>
      <c r="E2">
        <v>40</v>
      </c>
      <c r="G2" s="2" t="s">
        <v>9</v>
      </c>
      <c r="H2">
        <f>COUNTIF(B5:B44,"AI")</f>
      </c>
      <c r="I2" s="2" t="s">
        <v>10</v>
      </c>
      <c r="J2">
        <f>COUNTIF(B5:B44,"Student")</f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s="5" customFormat="1" x14ac:dyDescent="0.25">
      <c r="A5" s="5" t="s">
        <v>492</v>
      </c>
      <c r="B5" s="5" t="s">
        <v>41</v>
      </c>
      <c r="C5" s="5" t="s">
        <v>493</v>
      </c>
      <c r="D5" s="5" t="s">
        <v>494</v>
      </c>
      <c r="E5" s="5" t="s">
        <v>495</v>
      </c>
      <c r="F5" s="5" t="s">
        <v>496</v>
      </c>
      <c r="G5" s="5" t="s">
        <v>497</v>
      </c>
      <c r="H5" s="6" t="s">
        <v>11</v>
      </c>
      <c r="I5" s="5" t="s">
        <v>498</v>
      </c>
      <c r="J5" s="5" t="s">
        <v>28</v>
      </c>
    </row>
    <row r="6" spans="1:10" s="5" customFormat="1" x14ac:dyDescent="0.25">
      <c r="A6" s="5" t="s">
        <v>499</v>
      </c>
      <c r="B6" s="5" t="s">
        <v>41</v>
      </c>
      <c r="C6" s="5" t="s">
        <v>500</v>
      </c>
      <c r="D6" s="5" t="s">
        <v>370</v>
      </c>
      <c r="E6" s="5" t="s">
        <v>495</v>
      </c>
      <c r="F6" s="5" t="s">
        <v>501</v>
      </c>
      <c r="G6" s="5" t="s">
        <v>502</v>
      </c>
      <c r="H6" s="6" t="s">
        <v>11</v>
      </c>
      <c r="I6" s="5" t="s">
        <v>503</v>
      </c>
      <c r="J6" s="5" t="s">
        <v>28</v>
      </c>
    </row>
    <row r="7" spans="1:10" s="5" customFormat="1" x14ac:dyDescent="0.25">
      <c r="A7" s="5" t="s">
        <v>504</v>
      </c>
      <c r="B7" s="5" t="s">
        <v>41</v>
      </c>
      <c r="C7" s="5" t="s">
        <v>505</v>
      </c>
      <c r="D7" s="5" t="s">
        <v>386</v>
      </c>
      <c r="E7" s="5" t="s">
        <v>495</v>
      </c>
      <c r="F7" s="5" t="s">
        <v>506</v>
      </c>
      <c r="G7" s="5" t="s">
        <v>507</v>
      </c>
      <c r="H7" s="6" t="s">
        <v>11</v>
      </c>
      <c r="I7" s="5" t="s">
        <v>508</v>
      </c>
      <c r="J7" s="5" t="s">
        <v>28</v>
      </c>
    </row>
    <row r="8" spans="1:10" s="5" customFormat="1" x14ac:dyDescent="0.25">
      <c r="A8" s="5" t="s">
        <v>509</v>
      </c>
      <c r="B8" s="5" t="s">
        <v>41</v>
      </c>
      <c r="C8" s="5" t="s">
        <v>510</v>
      </c>
      <c r="D8" s="5" t="s">
        <v>494</v>
      </c>
      <c r="E8" s="5" t="s">
        <v>495</v>
      </c>
      <c r="F8" s="5" t="s">
        <v>511</v>
      </c>
      <c r="G8" s="5" t="s">
        <v>512</v>
      </c>
      <c r="H8" s="6" t="s">
        <v>11</v>
      </c>
      <c r="I8" s="5" t="s">
        <v>513</v>
      </c>
      <c r="J8" s="5" t="s">
        <v>28</v>
      </c>
    </row>
    <row r="9" spans="1:10" s="5" customFormat="1" x14ac:dyDescent="0.25">
      <c r="A9" s="5" t="s">
        <v>514</v>
      </c>
      <c r="B9" s="5" t="s">
        <v>41</v>
      </c>
      <c r="C9" s="5" t="s">
        <v>515</v>
      </c>
      <c r="D9" s="5" t="s">
        <v>494</v>
      </c>
      <c r="E9" s="5" t="s">
        <v>495</v>
      </c>
      <c r="F9" s="5" t="s">
        <v>516</v>
      </c>
      <c r="G9" s="5" t="s">
        <v>517</v>
      </c>
      <c r="H9" s="6" t="s">
        <v>11</v>
      </c>
      <c r="I9" s="5" t="s">
        <v>518</v>
      </c>
      <c r="J9" s="5" t="s">
        <v>28</v>
      </c>
    </row>
    <row r="10" spans="1:10" s="5" customFormat="1" x14ac:dyDescent="0.25">
      <c r="A10" s="5" t="s">
        <v>519</v>
      </c>
      <c r="B10" s="5" t="s">
        <v>41</v>
      </c>
      <c r="C10" s="5" t="s">
        <v>520</v>
      </c>
      <c r="D10" s="5" t="s">
        <v>494</v>
      </c>
      <c r="E10" s="5" t="s">
        <v>521</v>
      </c>
      <c r="F10" s="5" t="s">
        <v>522</v>
      </c>
      <c r="G10" s="5" t="s">
        <v>523</v>
      </c>
      <c r="H10" s="6" t="s">
        <v>11</v>
      </c>
      <c r="I10" s="5" t="s">
        <v>524</v>
      </c>
      <c r="J10" s="5" t="s">
        <v>28</v>
      </c>
    </row>
    <row r="11" spans="1:10" s="5" customFormat="1" x14ac:dyDescent="0.25">
      <c r="A11" s="5" t="s">
        <v>525</v>
      </c>
      <c r="B11" s="5" t="s">
        <v>41</v>
      </c>
      <c r="C11" s="5" t="s">
        <v>526</v>
      </c>
      <c r="D11" s="5" t="s">
        <v>494</v>
      </c>
      <c r="E11" s="5" t="s">
        <v>527</v>
      </c>
      <c r="F11" s="5" t="s">
        <v>528</v>
      </c>
      <c r="G11" s="5" t="s">
        <v>529</v>
      </c>
      <c r="H11" s="6" t="s">
        <v>11</v>
      </c>
      <c r="I11" s="5" t="s">
        <v>530</v>
      </c>
      <c r="J11" s="5" t="s">
        <v>28</v>
      </c>
    </row>
    <row r="12" spans="1:10" s="5" customFormat="1" x14ac:dyDescent="0.25">
      <c r="A12" s="5" t="s">
        <v>531</v>
      </c>
      <c r="B12" s="5" t="s">
        <v>41</v>
      </c>
      <c r="C12" s="5" t="s">
        <v>532</v>
      </c>
      <c r="D12" s="5" t="s">
        <v>494</v>
      </c>
      <c r="E12" s="5" t="s">
        <v>533</v>
      </c>
      <c r="F12" s="5" t="s">
        <v>528</v>
      </c>
      <c r="G12" s="5" t="s">
        <v>534</v>
      </c>
      <c r="H12" s="6" t="s">
        <v>11</v>
      </c>
      <c r="I12" s="5" t="s">
        <v>535</v>
      </c>
      <c r="J12" s="5" t="s">
        <v>28</v>
      </c>
    </row>
    <row r="13" spans="1:10" s="5" customFormat="1" x14ac:dyDescent="0.25">
      <c r="A13" s="5" t="s">
        <v>536</v>
      </c>
      <c r="B13" s="5" t="s">
        <v>41</v>
      </c>
      <c r="C13" s="5" t="s">
        <v>537</v>
      </c>
      <c r="D13" s="5" t="s">
        <v>494</v>
      </c>
      <c r="E13" s="5" t="s">
        <v>538</v>
      </c>
      <c r="F13" s="5" t="s">
        <v>528</v>
      </c>
      <c r="G13" s="5" t="s">
        <v>539</v>
      </c>
      <c r="H13" s="6" t="s">
        <v>11</v>
      </c>
      <c r="I13" s="5" t="s">
        <v>540</v>
      </c>
      <c r="J13" s="5" t="s">
        <v>28</v>
      </c>
    </row>
    <row r="14" spans="1:10" s="5" customFormat="1" x14ac:dyDescent="0.25">
      <c r="A14" s="5" t="s">
        <v>541</v>
      </c>
      <c r="B14" s="5" t="s">
        <v>41</v>
      </c>
      <c r="C14" s="5" t="s">
        <v>542</v>
      </c>
      <c r="D14" s="5" t="s">
        <v>494</v>
      </c>
      <c r="E14" s="5" t="s">
        <v>543</v>
      </c>
      <c r="F14" s="5" t="s">
        <v>544</v>
      </c>
      <c r="G14" s="5" t="s">
        <v>545</v>
      </c>
      <c r="H14" s="6" t="s">
        <v>11</v>
      </c>
      <c r="I14" s="5" t="s">
        <v>546</v>
      </c>
      <c r="J14" s="5" t="s">
        <v>28</v>
      </c>
    </row>
    <row r="15" spans="1:10" s="5" customFormat="1" x14ac:dyDescent="0.25">
      <c r="A15" s="5" t="s">
        <v>547</v>
      </c>
      <c r="B15" s="5" t="s">
        <v>41</v>
      </c>
      <c r="C15" s="5" t="s">
        <v>548</v>
      </c>
      <c r="D15" s="5" t="s">
        <v>494</v>
      </c>
      <c r="E15" s="5" t="s">
        <v>549</v>
      </c>
      <c r="F15" s="5" t="s">
        <v>550</v>
      </c>
      <c r="G15" s="5" t="s">
        <v>551</v>
      </c>
      <c r="H15" s="7" t="s">
        <v>13</v>
      </c>
      <c r="I15" s="5" t="s">
        <v>552</v>
      </c>
      <c r="J15" s="5" t="s">
        <v>28</v>
      </c>
    </row>
    <row r="16" spans="1:10" s="5" customFormat="1" x14ac:dyDescent="0.25">
      <c r="A16" s="5" t="s">
        <v>553</v>
      </c>
      <c r="B16" s="5" t="s">
        <v>41</v>
      </c>
      <c r="C16" s="5" t="s">
        <v>554</v>
      </c>
      <c r="D16" s="5" t="s">
        <v>494</v>
      </c>
      <c r="E16" s="5" t="s">
        <v>555</v>
      </c>
      <c r="F16" s="5" t="s">
        <v>556</v>
      </c>
      <c r="G16" s="5" t="s">
        <v>557</v>
      </c>
      <c r="H16" s="7" t="s">
        <v>13</v>
      </c>
      <c r="I16" s="5" t="s">
        <v>558</v>
      </c>
      <c r="J16" s="5" t="s">
        <v>28</v>
      </c>
    </row>
    <row r="17" spans="1:10" s="5" customFormat="1" x14ac:dyDescent="0.25">
      <c r="A17" s="5" t="s">
        <v>559</v>
      </c>
      <c r="B17" s="5" t="s">
        <v>41</v>
      </c>
      <c r="C17" s="5" t="s">
        <v>560</v>
      </c>
      <c r="D17" s="5" t="s">
        <v>494</v>
      </c>
      <c r="E17" s="5" t="s">
        <v>561</v>
      </c>
      <c r="F17" s="5" t="s">
        <v>562</v>
      </c>
      <c r="G17" s="5" t="s">
        <v>563</v>
      </c>
      <c r="H17" s="6" t="s">
        <v>11</v>
      </c>
      <c r="I17" s="5" t="s">
        <v>564</v>
      </c>
      <c r="J17" s="5" t="s">
        <v>28</v>
      </c>
    </row>
    <row r="18" spans="1:10" s="5" customFormat="1" x14ac:dyDescent="0.25">
      <c r="A18" s="5" t="s">
        <v>565</v>
      </c>
      <c r="B18" s="5" t="s">
        <v>41</v>
      </c>
      <c r="C18" s="5" t="s">
        <v>566</v>
      </c>
      <c r="D18" s="5" t="s">
        <v>494</v>
      </c>
      <c r="E18" s="5" t="s">
        <v>567</v>
      </c>
      <c r="F18" s="5" t="s">
        <v>568</v>
      </c>
      <c r="G18" s="5" t="s">
        <v>569</v>
      </c>
      <c r="H18" s="6" t="s">
        <v>11</v>
      </c>
      <c r="I18" s="5" t="s">
        <v>570</v>
      </c>
      <c r="J18" s="5" t="s">
        <v>28</v>
      </c>
    </row>
    <row r="19" spans="1:10" s="5" customFormat="1" x14ac:dyDescent="0.25">
      <c r="A19" s="5" t="s">
        <v>571</v>
      </c>
      <c r="B19" s="5" t="s">
        <v>41</v>
      </c>
      <c r="C19" s="5" t="s">
        <v>572</v>
      </c>
      <c r="D19" s="5" t="s">
        <v>494</v>
      </c>
      <c r="E19" s="5" t="s">
        <v>573</v>
      </c>
      <c r="F19" s="5" t="s">
        <v>574</v>
      </c>
      <c r="G19" s="5" t="s">
        <v>575</v>
      </c>
      <c r="H19" s="6" t="s">
        <v>11</v>
      </c>
      <c r="I19" s="5" t="s">
        <v>576</v>
      </c>
      <c r="J19" s="5" t="s">
        <v>28</v>
      </c>
    </row>
    <row r="20" spans="1:10" s="5" customFormat="1" x14ac:dyDescent="0.25">
      <c r="A20" s="5" t="s">
        <v>577</v>
      </c>
      <c r="B20" s="5" t="s">
        <v>41</v>
      </c>
      <c r="C20" s="5" t="s">
        <v>578</v>
      </c>
      <c r="D20" s="5" t="s">
        <v>494</v>
      </c>
      <c r="E20" s="5" t="s">
        <v>579</v>
      </c>
      <c r="F20" s="5" t="s">
        <v>580</v>
      </c>
      <c r="G20" s="5" t="s">
        <v>581</v>
      </c>
      <c r="H20" s="7" t="s">
        <v>13</v>
      </c>
      <c r="I20" s="5" t="s">
        <v>582</v>
      </c>
      <c r="J20" s="5" t="s">
        <v>28</v>
      </c>
    </row>
    <row r="21" spans="1:10" s="5" customFormat="1" x14ac:dyDescent="0.25">
      <c r="A21" s="5" t="s">
        <v>583</v>
      </c>
      <c r="B21" s="5" t="s">
        <v>41</v>
      </c>
      <c r="C21" s="5" t="s">
        <v>584</v>
      </c>
      <c r="D21" s="5" t="s">
        <v>494</v>
      </c>
      <c r="E21" s="5" t="s">
        <v>585</v>
      </c>
      <c r="F21" s="5" t="s">
        <v>528</v>
      </c>
      <c r="G21" s="5" t="s">
        <v>586</v>
      </c>
      <c r="H21" s="6" t="s">
        <v>11</v>
      </c>
      <c r="I21" s="5" t="s">
        <v>587</v>
      </c>
      <c r="J21" s="5" t="s">
        <v>28</v>
      </c>
    </row>
    <row r="22" spans="1:10" s="5" customFormat="1" x14ac:dyDescent="0.25">
      <c r="A22" s="5" t="s">
        <v>588</v>
      </c>
      <c r="B22" s="5" t="s">
        <v>41</v>
      </c>
      <c r="C22" s="5" t="s">
        <v>589</v>
      </c>
      <c r="D22" s="5" t="s">
        <v>494</v>
      </c>
      <c r="E22" s="5" t="s">
        <v>590</v>
      </c>
      <c r="F22" s="5" t="s">
        <v>591</v>
      </c>
      <c r="G22" s="5" t="s">
        <v>592</v>
      </c>
      <c r="H22" s="7" t="s">
        <v>13</v>
      </c>
      <c r="I22" s="5" t="s">
        <v>593</v>
      </c>
      <c r="J22" s="5" t="s">
        <v>28</v>
      </c>
    </row>
    <row r="23" spans="1:10" s="5" customFormat="1" x14ac:dyDescent="0.25">
      <c r="A23" s="5" t="s">
        <v>594</v>
      </c>
      <c r="B23" s="5" t="s">
        <v>41</v>
      </c>
      <c r="C23" s="5" t="s">
        <v>595</v>
      </c>
      <c r="D23" s="5" t="s">
        <v>370</v>
      </c>
      <c r="E23" s="5" t="s">
        <v>596</v>
      </c>
      <c r="F23" s="5" t="s">
        <v>597</v>
      </c>
      <c r="G23" s="5" t="s">
        <v>598</v>
      </c>
      <c r="H23" s="6" t="s">
        <v>11</v>
      </c>
      <c r="I23" s="5" t="s">
        <v>599</v>
      </c>
      <c r="J23" s="5" t="s">
        <v>28</v>
      </c>
    </row>
    <row r="24" spans="1:10" s="5" customFormat="1" x14ac:dyDescent="0.25">
      <c r="A24" s="5" t="s">
        <v>600</v>
      </c>
      <c r="B24" s="5" t="s">
        <v>41</v>
      </c>
      <c r="C24" s="5" t="s">
        <v>601</v>
      </c>
      <c r="D24" s="5" t="s">
        <v>386</v>
      </c>
      <c r="E24" s="5" t="s">
        <v>596</v>
      </c>
      <c r="F24" s="5" t="s">
        <v>602</v>
      </c>
      <c r="G24" s="5" t="s">
        <v>603</v>
      </c>
      <c r="H24" s="6" t="s">
        <v>11</v>
      </c>
      <c r="I24" s="5" t="s">
        <v>599</v>
      </c>
      <c r="J24" s="5" t="s">
        <v>28</v>
      </c>
    </row>
    <row r="25" spans="1:10" s="5" customFormat="1" x14ac:dyDescent="0.25">
      <c r="A25" s="5" t="s">
        <v>604</v>
      </c>
      <c r="B25" s="5" t="s">
        <v>41</v>
      </c>
      <c r="C25" s="5" t="s">
        <v>605</v>
      </c>
      <c r="D25" s="5" t="s">
        <v>377</v>
      </c>
      <c r="E25" s="5" t="s">
        <v>596</v>
      </c>
      <c r="F25" s="5" t="s">
        <v>606</v>
      </c>
      <c r="G25" s="5" t="s">
        <v>607</v>
      </c>
      <c r="H25" s="6" t="s">
        <v>11</v>
      </c>
      <c r="I25" s="5" t="s">
        <v>608</v>
      </c>
      <c r="J25" s="5" t="s">
        <v>28</v>
      </c>
    </row>
    <row r="26" spans="1:10" s="5" customFormat="1" x14ac:dyDescent="0.25">
      <c r="A26" s="5" t="s">
        <v>609</v>
      </c>
      <c r="B26" s="5" t="s">
        <v>41</v>
      </c>
      <c r="C26" s="5" t="s">
        <v>610</v>
      </c>
      <c r="D26" s="5" t="s">
        <v>611</v>
      </c>
      <c r="E26" s="5" t="s">
        <v>612</v>
      </c>
      <c r="F26" s="5" t="s">
        <v>613</v>
      </c>
      <c r="G26" s="5" t="s">
        <v>614</v>
      </c>
      <c r="H26" s="6" t="s">
        <v>11</v>
      </c>
      <c r="I26" s="5" t="s">
        <v>615</v>
      </c>
      <c r="J26" s="5" t="s">
        <v>28</v>
      </c>
    </row>
    <row r="27" spans="1:10" s="5" customFormat="1" x14ac:dyDescent="0.25">
      <c r="A27" s="5" t="s">
        <v>616</v>
      </c>
      <c r="B27" s="5" t="s">
        <v>41</v>
      </c>
      <c r="C27" s="5" t="s">
        <v>617</v>
      </c>
      <c r="D27" s="5" t="s">
        <v>618</v>
      </c>
      <c r="E27" s="5" t="s">
        <v>619</v>
      </c>
      <c r="F27" s="5" t="s">
        <v>620</v>
      </c>
      <c r="G27" s="5" t="s">
        <v>621</v>
      </c>
      <c r="H27" s="6" t="s">
        <v>11</v>
      </c>
      <c r="I27" s="5" t="s">
        <v>622</v>
      </c>
      <c r="J27" s="5" t="s">
        <v>28</v>
      </c>
    </row>
    <row r="28" spans="1:10" s="5" customFormat="1" x14ac:dyDescent="0.25">
      <c r="A28" s="5" t="s">
        <v>623</v>
      </c>
      <c r="B28" s="5" t="s">
        <v>41</v>
      </c>
      <c r="C28" s="5" t="s">
        <v>624</v>
      </c>
      <c r="D28" s="5" t="s">
        <v>618</v>
      </c>
      <c r="E28" s="5" t="s">
        <v>625</v>
      </c>
      <c r="F28" s="5" t="s">
        <v>626</v>
      </c>
      <c r="G28" s="5" t="s">
        <v>627</v>
      </c>
      <c r="H28" s="6" t="s">
        <v>11</v>
      </c>
      <c r="I28" s="5" t="s">
        <v>621</v>
      </c>
      <c r="J28" s="5" t="s">
        <v>28</v>
      </c>
    </row>
    <row r="29" spans="1:10" s="5" customFormat="1" x14ac:dyDescent="0.25">
      <c r="A29" s="5" t="s">
        <v>628</v>
      </c>
      <c r="B29" s="5" t="s">
        <v>41</v>
      </c>
      <c r="C29" s="5" t="s">
        <v>629</v>
      </c>
      <c r="D29" s="5" t="s">
        <v>630</v>
      </c>
      <c r="E29" s="5" t="s">
        <v>631</v>
      </c>
      <c r="F29" s="5" t="s">
        <v>632</v>
      </c>
      <c r="G29" s="5" t="s">
        <v>633</v>
      </c>
      <c r="H29" s="7" t="s">
        <v>13</v>
      </c>
      <c r="I29" s="5" t="s">
        <v>634</v>
      </c>
      <c r="J29" s="5" t="s">
        <v>28</v>
      </c>
    </row>
    <row r="30" spans="1:10" s="5" customFormat="1" x14ac:dyDescent="0.25">
      <c r="A30" s="5" t="s">
        <v>635</v>
      </c>
      <c r="B30" s="5" t="s">
        <v>41</v>
      </c>
      <c r="C30" s="5" t="s">
        <v>636</v>
      </c>
      <c r="D30" s="5" t="s">
        <v>494</v>
      </c>
      <c r="E30" s="5" t="s">
        <v>637</v>
      </c>
      <c r="F30" s="5" t="s">
        <v>638</v>
      </c>
      <c r="G30" s="5" t="s">
        <v>639</v>
      </c>
      <c r="H30" s="7" t="s">
        <v>13</v>
      </c>
      <c r="I30" s="5" t="s">
        <v>640</v>
      </c>
      <c r="J30" s="5" t="s">
        <v>28</v>
      </c>
    </row>
    <row r="31" spans="1:10" s="5" customFormat="1" x14ac:dyDescent="0.25">
      <c r="A31" s="5" t="s">
        <v>641</v>
      </c>
      <c r="B31" s="5" t="s">
        <v>41</v>
      </c>
      <c r="C31" s="5" t="s">
        <v>642</v>
      </c>
      <c r="D31" s="5" t="s">
        <v>643</v>
      </c>
      <c r="E31" s="5" t="s">
        <v>644</v>
      </c>
      <c r="F31" s="5" t="s">
        <v>645</v>
      </c>
      <c r="G31" s="5" t="s">
        <v>646</v>
      </c>
      <c r="H31" s="6" t="s">
        <v>11</v>
      </c>
      <c r="I31" s="5" t="s">
        <v>599</v>
      </c>
      <c r="J31" s="5" t="s">
        <v>28</v>
      </c>
    </row>
    <row r="32" spans="1:10" s="5" customFormat="1" x14ac:dyDescent="0.25">
      <c r="A32" s="5" t="s">
        <v>647</v>
      </c>
      <c r="B32" s="5" t="s">
        <v>41</v>
      </c>
      <c r="C32" s="5" t="s">
        <v>648</v>
      </c>
      <c r="D32" s="5" t="s">
        <v>649</v>
      </c>
      <c r="E32" s="5" t="s">
        <v>644</v>
      </c>
      <c r="F32" s="5" t="s">
        <v>650</v>
      </c>
      <c r="G32" s="5" t="s">
        <v>651</v>
      </c>
      <c r="H32" s="6" t="s">
        <v>11</v>
      </c>
      <c r="I32" s="5" t="s">
        <v>599</v>
      </c>
      <c r="J32" s="5" t="s">
        <v>28</v>
      </c>
    </row>
    <row r="33" spans="1:10" s="5" customFormat="1" x14ac:dyDescent="0.25">
      <c r="A33" s="5" t="s">
        <v>652</v>
      </c>
      <c r="B33" s="5" t="s">
        <v>41</v>
      </c>
      <c r="C33" s="5" t="s">
        <v>653</v>
      </c>
      <c r="D33" s="5" t="s">
        <v>654</v>
      </c>
      <c r="E33" s="5" t="s">
        <v>655</v>
      </c>
      <c r="F33" s="5" t="s">
        <v>656</v>
      </c>
      <c r="G33" s="5" t="s">
        <v>657</v>
      </c>
      <c r="H33" s="6" t="s">
        <v>11</v>
      </c>
      <c r="I33" s="5" t="s">
        <v>658</v>
      </c>
      <c r="J33" s="5" t="s">
        <v>28</v>
      </c>
    </row>
    <row r="34" spans="1:10" s="5" customFormat="1" x14ac:dyDescent="0.25">
      <c r="A34" s="5" t="s">
        <v>659</v>
      </c>
      <c r="B34" s="5" t="s">
        <v>41</v>
      </c>
      <c r="C34" s="5" t="s">
        <v>660</v>
      </c>
      <c r="D34" s="5" t="s">
        <v>661</v>
      </c>
      <c r="E34" s="5" t="s">
        <v>662</v>
      </c>
      <c r="F34" s="5" t="s">
        <v>663</v>
      </c>
      <c r="G34" s="5" t="s">
        <v>664</v>
      </c>
      <c r="H34" s="7" t="s">
        <v>13</v>
      </c>
      <c r="I34" s="5" t="s">
        <v>665</v>
      </c>
      <c r="J34" s="5" t="s">
        <v>28</v>
      </c>
    </row>
    <row r="35" spans="1:10" s="5" customFormat="1" x14ac:dyDescent="0.25">
      <c r="A35" s="5" t="s">
        <v>666</v>
      </c>
      <c r="B35" s="5" t="s">
        <v>41</v>
      </c>
      <c r="C35" s="5" t="s">
        <v>667</v>
      </c>
      <c r="D35" s="5" t="s">
        <v>494</v>
      </c>
      <c r="E35" s="5" t="s">
        <v>668</v>
      </c>
      <c r="F35" s="5" t="s">
        <v>638</v>
      </c>
      <c r="G35" s="5" t="s">
        <v>669</v>
      </c>
      <c r="H35" s="7" t="s">
        <v>13</v>
      </c>
      <c r="I35" s="5" t="s">
        <v>640</v>
      </c>
      <c r="J35" s="5" t="s">
        <v>28</v>
      </c>
    </row>
    <row r="36" spans="1:10" s="5" customFormat="1" x14ac:dyDescent="0.25">
      <c r="A36" s="5" t="s">
        <v>670</v>
      </c>
      <c r="B36" s="5" t="s">
        <v>41</v>
      </c>
      <c r="C36" s="5" t="s">
        <v>671</v>
      </c>
      <c r="D36" s="5" t="s">
        <v>672</v>
      </c>
      <c r="E36" s="5" t="s">
        <v>673</v>
      </c>
      <c r="F36" s="5" t="s">
        <v>674</v>
      </c>
      <c r="G36" s="5" t="s">
        <v>646</v>
      </c>
      <c r="H36" s="6" t="s">
        <v>11</v>
      </c>
      <c r="I36" s="5" t="s">
        <v>599</v>
      </c>
      <c r="J36" s="5" t="s">
        <v>28</v>
      </c>
    </row>
    <row r="37" spans="1:10" s="5" customFormat="1" x14ac:dyDescent="0.25">
      <c r="A37" s="5" t="s">
        <v>675</v>
      </c>
      <c r="B37" s="5" t="s">
        <v>41</v>
      </c>
      <c r="C37" s="5" t="s">
        <v>676</v>
      </c>
      <c r="D37" s="5" t="s">
        <v>677</v>
      </c>
      <c r="E37" s="5" t="s">
        <v>673</v>
      </c>
      <c r="F37" s="5" t="s">
        <v>678</v>
      </c>
      <c r="G37" s="5" t="s">
        <v>651</v>
      </c>
      <c r="H37" s="6" t="s">
        <v>11</v>
      </c>
      <c r="I37" s="5" t="s">
        <v>599</v>
      </c>
      <c r="J37" s="5" t="s">
        <v>28</v>
      </c>
    </row>
    <row r="38" spans="1:10" s="5" customFormat="1" x14ac:dyDescent="0.25">
      <c r="A38" s="5" t="s">
        <v>679</v>
      </c>
      <c r="B38" s="5" t="s">
        <v>41</v>
      </c>
      <c r="C38" s="5" t="s">
        <v>680</v>
      </c>
      <c r="D38" s="5" t="s">
        <v>681</v>
      </c>
      <c r="E38" s="5" t="s">
        <v>682</v>
      </c>
      <c r="F38" s="5" t="s">
        <v>683</v>
      </c>
      <c r="G38" s="5" t="s">
        <v>684</v>
      </c>
      <c r="H38" s="6" t="s">
        <v>11</v>
      </c>
      <c r="I38" s="5" t="s">
        <v>685</v>
      </c>
      <c r="J38" s="5" t="s">
        <v>28</v>
      </c>
    </row>
    <row r="39" spans="1:10" s="5" customFormat="1" x14ac:dyDescent="0.25">
      <c r="A39" s="5" t="s">
        <v>686</v>
      </c>
      <c r="B39" s="5" t="s">
        <v>41</v>
      </c>
      <c r="C39" s="5" t="s">
        <v>687</v>
      </c>
      <c r="D39" s="5" t="s">
        <v>688</v>
      </c>
      <c r="E39" s="5" t="s">
        <v>689</v>
      </c>
      <c r="F39" s="5" t="s">
        <v>690</v>
      </c>
      <c r="G39" s="5" t="s">
        <v>691</v>
      </c>
      <c r="H39" s="7" t="s">
        <v>13</v>
      </c>
      <c r="I39" s="5" t="s">
        <v>692</v>
      </c>
      <c r="J39" s="5" t="s">
        <v>28</v>
      </c>
    </row>
    <row r="40" spans="1:10" s="5" customFormat="1" x14ac:dyDescent="0.25">
      <c r="A40" s="5" t="s">
        <v>693</v>
      </c>
      <c r="B40" s="5" t="s">
        <v>220</v>
      </c>
      <c r="C40" s="5" t="s">
        <v>694</v>
      </c>
      <c r="D40" s="5" t="s">
        <v>695</v>
      </c>
      <c r="E40" s="5" t="s">
        <v>696</v>
      </c>
      <c r="F40" s="5" t="s">
        <v>697</v>
      </c>
      <c r="G40" s="5" t="s">
        <v>28</v>
      </c>
      <c r="H40" s="6" t="s">
        <v>11</v>
      </c>
      <c r="I40" s="5" t="s">
        <v>698</v>
      </c>
      <c r="J40" s="5" t="s">
        <v>28</v>
      </c>
    </row>
    <row r="41" spans="1:10" s="5" customFormat="1" x14ac:dyDescent="0.25">
      <c r="A41" s="5" t="s">
        <v>699</v>
      </c>
      <c r="B41" s="5" t="s">
        <v>220</v>
      </c>
      <c r="C41" s="5" t="s">
        <v>700</v>
      </c>
      <c r="D41" s="5" t="s">
        <v>701</v>
      </c>
      <c r="E41" s="5" t="s">
        <v>702</v>
      </c>
      <c r="F41" s="5" t="s">
        <v>703</v>
      </c>
      <c r="G41" s="5" t="s">
        <v>28</v>
      </c>
      <c r="H41" s="6" t="s">
        <v>11</v>
      </c>
      <c r="I41" s="5" t="s">
        <v>704</v>
      </c>
      <c r="J41" s="5" t="s">
        <v>28</v>
      </c>
    </row>
    <row r="42" spans="1:10" s="5" customFormat="1" x14ac:dyDescent="0.25">
      <c r="A42" s="5" t="s">
        <v>705</v>
      </c>
      <c r="B42" s="5" t="s">
        <v>220</v>
      </c>
      <c r="C42" s="5" t="s">
        <v>706</v>
      </c>
      <c r="D42" s="5" t="s">
        <v>707</v>
      </c>
      <c r="E42" s="5" t="s">
        <v>708</v>
      </c>
      <c r="F42" s="5" t="s">
        <v>709</v>
      </c>
      <c r="G42" s="5" t="s">
        <v>28</v>
      </c>
      <c r="H42" s="6" t="s">
        <v>11</v>
      </c>
      <c r="I42" s="5" t="s">
        <v>710</v>
      </c>
      <c r="J42" s="5" t="s">
        <v>28</v>
      </c>
    </row>
    <row r="43" spans="1:10" s="5" customFormat="1" x14ac:dyDescent="0.25">
      <c r="A43" s="5" t="s">
        <v>711</v>
      </c>
      <c r="B43" s="5" t="s">
        <v>220</v>
      </c>
      <c r="C43" s="5" t="s">
        <v>712</v>
      </c>
      <c r="D43" s="5" t="s">
        <v>713</v>
      </c>
      <c r="E43" s="5" t="s">
        <v>714</v>
      </c>
      <c r="F43" s="5" t="s">
        <v>715</v>
      </c>
      <c r="G43" s="5" t="s">
        <v>28</v>
      </c>
      <c r="H43" s="6" t="s">
        <v>11</v>
      </c>
      <c r="I43" s="5" t="s">
        <v>716</v>
      </c>
      <c r="J43" s="5" t="s">
        <v>28</v>
      </c>
    </row>
    <row r="44" spans="1:10" s="5" customFormat="1" x14ac:dyDescent="0.25">
      <c r="A44" s="5" t="s">
        <v>717</v>
      </c>
      <c r="B44" s="5" t="s">
        <v>220</v>
      </c>
      <c r="C44" s="5" t="s">
        <v>718</v>
      </c>
      <c r="D44" s="5" t="s">
        <v>494</v>
      </c>
      <c r="E44" s="5" t="s">
        <v>719</v>
      </c>
      <c r="F44" s="5" t="s">
        <v>720</v>
      </c>
      <c r="G44" s="5" t="s">
        <v>28</v>
      </c>
      <c r="H44" s="6" t="s">
        <v>11</v>
      </c>
      <c r="I44" s="5" t="s">
        <v>721</v>
      </c>
      <c r="J44" s="5" t="s">
        <v>28</v>
      </c>
    </row>
  </sheetData>
  <autoFilter ref="A4:J44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FR-02 Cases</vt:lpstr>
      <vt:lpstr>FR-08 Cases</vt:lpstr>
      <vt:lpstr>FR-14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23127172</dc:creator>
  <dc:title/>
  <dc:subject/>
  <dc:description/>
  <cp:keywords/>
  <cp:category/>
  <cp:lastModifiedBy>Unknown</cp:lastModifiedBy>
  <dcterms:created xsi:type="dcterms:W3CDTF">2026-08-22T13:09:41Z</dcterms:created>
  <dcterms:modified xsi:type="dcterms:W3CDTF">2026-08-22T13:09:41Z</dcterms:modified>
</cp:coreProperties>
</file>